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game\Excel\"/>
    </mc:Choice>
  </mc:AlternateContent>
  <xr:revisionPtr revIDLastSave="0" documentId="8_{D6E0FA89-F033-4950-9F76-E5049B0899BE}" xr6:coauthVersionLast="47" xr6:coauthVersionMax="47" xr10:uidLastSave="{00000000-0000-0000-0000-000000000000}"/>
  <bookViews>
    <workbookView xWindow="-108" yWindow="-108" windowWidth="23256" windowHeight="12456" tabRatio="853" activeTab="1" xr2:uid="{FC97AFA2-F693-40D4-9AEC-6E357980F494}"/>
  </bookViews>
  <sheets>
    <sheet name="Dashboard" sheetId="9" r:id="rId1"/>
    <sheet name="Data" sheetId="1" r:id="rId2"/>
    <sheet name="Sales by Region" sheetId="12" r:id="rId3"/>
    <sheet name="Sales by Category" sheetId="13" r:id="rId4"/>
    <sheet name="Sales by Sales Rep" sheetId="5" r:id="rId5"/>
    <sheet name="Monthly Trend" sheetId="6" r:id="rId6"/>
    <sheet name="Top 5" sheetId="7" r:id="rId7"/>
    <sheet name="Product" sheetId="8" r:id="rId8"/>
  </sheets>
  <definedNames>
    <definedName name="Slicer_Category">#N/A</definedName>
    <definedName name="Slicer_Month">#N/A</definedName>
    <definedName name="Slicer_Region">#N/A</definedName>
    <definedName name="Slicer_Sales_Rep">#N/A</definedName>
  </definedNames>
  <calcPr calcId="191029"/>
  <pivotCaches>
    <pivotCache cacheId="21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9" l="1"/>
  <c r="F1" i="9"/>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J2" i="1"/>
  <c r="J3" i="1"/>
  <c r="J4" i="1"/>
  <c r="J5" i="1"/>
  <c r="J6" i="1"/>
  <c r="J7" i="1"/>
  <c r="J8" i="1"/>
  <c r="J9" i="1"/>
  <c r="J10" i="1"/>
  <c r="J32" i="1" s="1"/>
  <c r="J11" i="1"/>
  <c r="C1" i="9" s="1"/>
  <c r="J12" i="1"/>
  <c r="J13" i="1"/>
  <c r="J14" i="1"/>
  <c r="J15" i="1"/>
  <c r="J16" i="1"/>
  <c r="J17" i="1"/>
  <c r="J18" i="1"/>
  <c r="J19" i="1"/>
  <c r="J20" i="1"/>
  <c r="J21" i="1"/>
  <c r="J22" i="1"/>
  <c r="J23" i="1"/>
  <c r="J24" i="1"/>
  <c r="J25" i="1"/>
  <c r="J26" i="1"/>
  <c r="J27" i="1"/>
  <c r="J28" i="1"/>
  <c r="J29" i="1"/>
  <c r="J30" i="1"/>
  <c r="J31" i="1"/>
  <c r="E8" i="1" l="1"/>
  <c r="F15" i="1"/>
  <c r="C28" i="1"/>
  <c r="E12" i="1"/>
  <c r="C9" i="1"/>
  <c r="C11" i="1"/>
  <c r="C7" i="1"/>
  <c r="D7" i="1"/>
  <c r="C19" i="1"/>
  <c r="E13" i="1"/>
  <c r="D4" i="1"/>
  <c r="D11" i="1"/>
  <c r="F21" i="1"/>
  <c r="E20" i="1"/>
  <c r="C17" i="1"/>
  <c r="E26" i="1"/>
  <c r="F22" i="1"/>
  <c r="F5" i="1"/>
  <c r="E23" i="1"/>
  <c r="E27" i="1"/>
  <c r="F24" i="1"/>
  <c r="F16" i="1"/>
  <c r="C20" i="1"/>
  <c r="E2" i="1"/>
  <c r="D31" i="1"/>
  <c r="E28" i="1"/>
  <c r="D28" i="1"/>
  <c r="D17" i="1"/>
  <c r="D6" i="1"/>
  <c r="D26" i="1"/>
  <c r="F3" i="1"/>
  <c r="C12" i="1"/>
  <c r="E24" i="1"/>
  <c r="F23" i="1"/>
  <c r="C30" i="1"/>
  <c r="F4" i="1"/>
  <c r="C8" i="1"/>
  <c r="C4" i="1"/>
  <c r="F8" i="1"/>
  <c r="D24" i="1"/>
  <c r="F9" i="1"/>
  <c r="F20" i="1"/>
  <c r="E19" i="1"/>
  <c r="F6" i="1"/>
  <c r="D8" i="1"/>
  <c r="E9" i="1"/>
  <c r="C31" i="1"/>
  <c r="E29" i="1"/>
  <c r="D3" i="1"/>
  <c r="E25" i="1"/>
  <c r="F27" i="1"/>
  <c r="E18" i="1"/>
  <c r="F17" i="1"/>
  <c r="E3" i="1"/>
  <c r="F28" i="1"/>
  <c r="C2" i="1"/>
  <c r="F30" i="1"/>
  <c r="E14" i="1"/>
  <c r="D9" i="1"/>
  <c r="D5" i="1"/>
  <c r="C16" i="1"/>
  <c r="D14" i="1"/>
  <c r="F11" i="1"/>
  <c r="F18" i="1"/>
  <c r="D21" i="1"/>
  <c r="F14" i="1"/>
  <c r="E6" i="1"/>
  <c r="E4" i="1"/>
  <c r="F29" i="1"/>
  <c r="D22" i="1"/>
  <c r="F2" i="1"/>
  <c r="D10" i="1"/>
  <c r="F31" i="1"/>
  <c r="C13" i="1"/>
  <c r="F25" i="1"/>
  <c r="C23" i="1"/>
  <c r="E10" i="1"/>
  <c r="D18" i="1"/>
  <c r="E15" i="1"/>
  <c r="D29" i="1"/>
  <c r="C25" i="1"/>
  <c r="E17" i="1"/>
  <c r="F7" i="1"/>
  <c r="C24" i="1"/>
  <c r="E30" i="1"/>
  <c r="C10" i="1"/>
  <c r="E7" i="1"/>
  <c r="E5" i="1"/>
  <c r="E21" i="1"/>
  <c r="C3" i="1"/>
  <c r="C26" i="1"/>
  <c r="D30" i="1"/>
  <c r="C22" i="1"/>
  <c r="C29" i="1"/>
  <c r="D13" i="1"/>
  <c r="D16" i="1"/>
  <c r="C6" i="1"/>
  <c r="F19" i="1"/>
  <c r="F12" i="1"/>
  <c r="D20" i="1"/>
  <c r="C21" i="1"/>
  <c r="C15" i="1"/>
  <c r="F26" i="1"/>
  <c r="C27" i="1"/>
  <c r="D23" i="1"/>
  <c r="F10" i="1"/>
  <c r="F13" i="1"/>
  <c r="C18" i="1"/>
  <c r="E11" i="1"/>
  <c r="C14" i="1"/>
  <c r="C5" i="1"/>
  <c r="D15" i="1"/>
  <c r="D19" i="1"/>
  <c r="E22" i="1"/>
  <c r="D2" i="1"/>
  <c r="D27" i="1"/>
  <c r="E16" i="1"/>
  <c r="D12" i="1"/>
  <c r="D25" i="1"/>
  <c r="E31" i="1"/>
</calcChain>
</file>

<file path=xl/sharedStrings.xml><?xml version="1.0" encoding="utf-8"?>
<sst xmlns="http://schemas.openxmlformats.org/spreadsheetml/2006/main" count="90" uniqueCount="43">
  <si>
    <t>Order_ID</t>
  </si>
  <si>
    <t>Order_Date</t>
  </si>
  <si>
    <t>Customer_Name</t>
  </si>
  <si>
    <t>Product</t>
  </si>
  <si>
    <t>Category</t>
  </si>
  <si>
    <t>Region</t>
  </si>
  <si>
    <t>Quantity</t>
  </si>
  <si>
    <t>Unit_Price</t>
  </si>
  <si>
    <t>Sales_Rep</t>
  </si>
  <si>
    <t>Laptop Pro</t>
  </si>
  <si>
    <t>Laptops</t>
  </si>
  <si>
    <t>Damascus</t>
  </si>
  <si>
    <t>Smartphone X</t>
  </si>
  <si>
    <t>Phones</t>
  </si>
  <si>
    <t>Aleppo</t>
  </si>
  <si>
    <t>Headphones Z</t>
  </si>
  <si>
    <t>Accessories</t>
  </si>
  <si>
    <t>Homs</t>
  </si>
  <si>
    <t>Monitor 4K</t>
  </si>
  <si>
    <t>Monitors</t>
  </si>
  <si>
    <t>Laptop Air</t>
  </si>
  <si>
    <t>Latakia</t>
  </si>
  <si>
    <t>Samer</t>
  </si>
  <si>
    <t>Lina</t>
  </si>
  <si>
    <t>Rami</t>
  </si>
  <si>
    <t>Total_Sales</t>
  </si>
  <si>
    <t>Month</t>
  </si>
  <si>
    <t>Month_Number</t>
  </si>
  <si>
    <t>Row Labels</t>
  </si>
  <si>
    <t>Grand Total</t>
  </si>
  <si>
    <t>Sum of Total_Sales</t>
  </si>
  <si>
    <t>January</t>
  </si>
  <si>
    <t>February</t>
  </si>
  <si>
    <t>March</t>
  </si>
  <si>
    <t>Al-Amal Foundation</t>
  </si>
  <si>
    <t>Al-Nour Company</t>
  </si>
  <si>
    <t>Mohammed Hassan</t>
  </si>
  <si>
    <t>Omar Youssef</t>
  </si>
  <si>
    <t>Sarah Khaled</t>
  </si>
  <si>
    <t xml:space="preserve"> </t>
  </si>
  <si>
    <t>Total Sales</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</si>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</sst>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6" x14ac:knownFonts="1">
    <font>
      <sz val="11"/>
      <color theme="1"/>
      <name val="Arial"/>
      <family val="2"/>
      <charset val="178"/>
      <scheme val="minor"/>
    </font>
    <font>
      <b/>
      <sz val="11"/>
      <color theme="1"/>
      <name val="Arial"/>
      <family val="2"/>
      <charset val="178"/>
      <scheme val="minor"/>
    </font>
    <font>
      <sz val="11"/>
      <color theme="1"/>
      <name val="Times New Roman"/>
      <family val="1"/>
    </font>
    <font>
      <b/>
      <sz val="11"/>
      <color theme="3"/>
      <name val="Times New Roman"/>
      <family val="1"/>
      <charset val="178"/>
    </font>
    <font>
      <sz val="11"/>
      <color theme="1"/>
      <name val="Times New Roman"/>
      <family val="1"/>
      <scheme val="major"/>
    </font>
    <font>
      <b/>
      <i/>
      <sz val="16"/>
      <color theme="0"/>
      <name val="Times New Roman"/>
      <family val="1"/>
      <scheme val="maj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0" borderId="0" xfId="0" applyFont="1"/>
    <xf numFmtId="14" fontId="3" fillId="2" borderId="2" xfId="0" applyNumberFormat="1" applyFont="1" applyFill="1" applyBorder="1" applyAlignment="1">
      <alignment horizontal="center" vertical="center" wrapText="1"/>
    </xf>
    <xf numFmtId="14" fontId="2" fillId="0" borderId="0" xfId="0" applyNumberFormat="1" applyFont="1"/>
    <xf numFmtId="14" fontId="0" fillId="0" borderId="0" xfId="0" applyNumberFormat="1"/>
    <xf numFmtId="1" fontId="2" fillId="0" borderId="0" xfId="0" applyNumberFormat="1" applyFont="1"/>
    <xf numFmtId="164" fontId="2"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5" fillId="3" borderId="4" xfId="0" applyFont="1" applyFill="1" applyBorder="1" applyAlignment="1">
      <alignment horizontal="center" vertical="center"/>
    </xf>
    <xf numFmtId="164" fontId="5" fillId="3" borderId="0" xfId="0" applyNumberFormat="1" applyFont="1" applyFill="1" applyAlignment="1">
      <alignment horizontal="center" vertical="center"/>
    </xf>
    <xf numFmtId="0" fontId="5" fillId="3" borderId="0" xfId="0" applyFont="1" applyFill="1" applyAlignment="1">
      <alignment horizontal="center" vertical="center"/>
    </xf>
    <xf numFmtId="1" fontId="5" fillId="3" borderId="0" xfId="0" applyNumberFormat="1" applyFont="1" applyFill="1" applyAlignment="1">
      <alignment horizontal="center" vertical="center"/>
    </xf>
    <xf numFmtId="0" fontId="4" fillId="4" borderId="0" xfId="0" applyFont="1" applyFill="1"/>
    <xf numFmtId="0" fontId="4" fillId="4" borderId="4" xfId="0" applyFont="1" applyFill="1" applyBorder="1"/>
    <xf numFmtId="0" fontId="2" fillId="0" borderId="0" xfId="0" applyFont="1" applyFill="1"/>
    <xf numFmtId="14" fontId="2" fillId="0" borderId="0" xfId="0" applyNumberFormat="1" applyFont="1" applyFill="1"/>
    <xf numFmtId="0" fontId="2" fillId="0" borderId="0" xfId="0" applyNumberFormat="1" applyFont="1" applyFill="1"/>
    <xf numFmtId="1" fontId="2" fillId="0" borderId="0" xfId="0" applyNumberFormat="1" applyFont="1" applyFill="1"/>
    <xf numFmtId="164" fontId="2" fillId="0" borderId="0" xfId="0" applyNumberFormat="1" applyFont="1" applyFill="1"/>
  </cellXfs>
  <cellStyles count="1">
    <cellStyle name="Normal" xfId="0" builtinId="0"/>
  </cellStyles>
  <dxfs count="30">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164" formatCode="_-[$$-409]* #,##0_ ;_-[$$-409]* \-#,##0\ ;_-[$$-409]* &quot;-&quot;??_ ;_-@_ "/>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164" formatCode="_-[$$-409]* #,##0_ ;_-[$$-409]* \-#,##0\ ;_-[$$-409]* &quot;-&quot;??_ ;_-@_ "/>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1" formatCode="0"/>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numFmt numFmtId="19" formatCode="dd/mm/yyyy"/>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dxf>
    <dxf>
      <font>
        <color rgb="FF9C0006"/>
      </font>
      <fill>
        <patternFill>
          <bgColor rgb="FFFFC7CE"/>
        </patternFill>
      </fil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fill>
        <patternFill patternType="none">
          <fgColor indexed="64"/>
          <bgColor indexed="65"/>
        </patternFill>
      </fill>
    </dxf>
    <dxf>
      <font>
        <strike val="0"/>
        <outline val="0"/>
        <shadow val="0"/>
        <u val="none"/>
        <vertAlign val="baseline"/>
        <sz val="11"/>
        <color theme="1"/>
        <name val="Times New Roman"/>
        <family val="1"/>
        <scheme val="none"/>
      </font>
      <numFmt numFmtId="164" formatCode="_-[$$-409]* #,##0_ ;_-[$$-409]* \-#,##0\ ;_-[$$-409]* &quot;-&quot;??_ ;_-@_ "/>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64" formatCode="_-[$$-409]* #,##0_ ;_-[$$-409]* \-#,##0\ ;_-[$$-409]* &quot;-&quot;??_ ;_-@_ "/>
    </dxf>
    <dxf>
      <font>
        <strike val="0"/>
        <outline val="0"/>
        <shadow val="0"/>
        <u val="none"/>
        <vertAlign val="baseline"/>
        <sz val="11"/>
        <color theme="1"/>
        <name val="Times New Roman"/>
        <family val="1"/>
        <scheme val="none"/>
      </font>
      <numFmt numFmtId="1" formatCode="0"/>
    </dxf>
    <dxf>
      <font>
        <strike val="0"/>
        <outline val="0"/>
        <shadow val="0"/>
        <u val="none"/>
        <vertAlign val="baseline"/>
        <sz val="11"/>
        <color theme="1"/>
        <name val="Times New Roman"/>
        <family val="1"/>
        <scheme val="none"/>
      </font>
      <numFmt numFmtId="0" formatCode="General"/>
      <fill>
        <patternFill patternType="none">
          <fgColor indexed="64"/>
          <bgColor indexed="65"/>
        </patternFill>
      </fill>
    </dxf>
    <dxf>
      <font>
        <strike val="0"/>
        <outline val="0"/>
        <shadow val="0"/>
        <u val="none"/>
        <vertAlign val="baseline"/>
        <sz val="11"/>
        <color theme="1"/>
        <name val="Times New Roman"/>
        <family val="1"/>
        <scheme val="none"/>
      </font>
      <numFmt numFmtId="0" formatCode="General"/>
      <fill>
        <patternFill patternType="none">
          <fgColor indexed="64"/>
          <bgColor indexed="65"/>
        </patternFill>
      </fill>
    </dxf>
    <dxf>
      <font>
        <strike val="0"/>
        <outline val="0"/>
        <shadow val="0"/>
        <u val="none"/>
        <vertAlign val="baseline"/>
        <sz val="11"/>
        <color theme="1"/>
        <name val="Times New Roman"/>
        <family val="1"/>
        <scheme val="none"/>
      </font>
      <fill>
        <patternFill patternType="none">
          <fgColor indexed="64"/>
          <bgColor indexed="65"/>
        </patternFill>
      </fil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dxf>
    <dxf>
      <border outline="0">
        <bottom style="thin">
          <color indexed="64"/>
        </bottom>
      </border>
    </dxf>
    <dxf>
      <font>
        <b/>
        <i val="0"/>
        <strike val="0"/>
        <condense val="0"/>
        <extend val="0"/>
        <outline val="0"/>
        <shadow val="0"/>
        <u val="none"/>
        <vertAlign val="baseline"/>
        <sz val="11"/>
        <color theme="3"/>
        <name val="Times New Roman"/>
        <family val="1"/>
        <charset val="178"/>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[Q1_2024_Sales.xlsx]Monthly Trend!Monthly Trend</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ar-SA" sz="1800" b="0" i="0">
                <a:effectLst/>
              </a:rPr>
              <a:t>Monthly Sales Trend</a:t>
            </a:r>
          </a:p>
        </c:rich>
      </c:tx>
      <c:layout>
        <c:manualLayout>
          <c:xMode val="edge"/>
          <c:yMode val="edge"/>
          <c:x val="0.19279704398652295"/>
          <c:y val="6.57760418287634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Trend'!$A$4:$A$7</c:f>
              <c:strCache>
                <c:ptCount val="3"/>
                <c:pt idx="0">
                  <c:v>March</c:v>
                </c:pt>
                <c:pt idx="1">
                  <c:v>February</c:v>
                </c:pt>
                <c:pt idx="2">
                  <c:v>January</c:v>
                </c:pt>
              </c:strCache>
            </c:strRef>
          </c:cat>
          <c:val>
            <c:numRef>
              <c:f>'Monthly Trend'!$B$4:$B$7</c:f>
              <c:numCache>
                <c:formatCode>_-[$$-409]* #,##0_ ;_-[$$-409]* \-#,##0\ ;_-[$$-409]* "-"??_ ;_-@_ </c:formatCode>
                <c:ptCount val="3"/>
                <c:pt idx="0">
                  <c:v>45000</c:v>
                </c:pt>
                <c:pt idx="1">
                  <c:v>33350</c:v>
                </c:pt>
                <c:pt idx="2">
                  <c:v>27250</c:v>
                </c:pt>
              </c:numCache>
            </c:numRef>
          </c:val>
          <c:smooth val="0"/>
          <c:extLst>
            <c:ext xmlns:c16="http://schemas.microsoft.com/office/drawing/2014/chart" uri="{C3380CC4-5D6E-409C-BE32-E72D297353CC}">
              <c16:uniqueId val="{00000000-D460-408A-9CCB-6576E841AE66}"/>
            </c:ext>
          </c:extLst>
        </c:ser>
        <c:dLbls>
          <c:showLegendKey val="0"/>
          <c:showVal val="0"/>
          <c:showCatName val="0"/>
          <c:showSerName val="0"/>
          <c:showPercent val="0"/>
          <c:showBubbleSize val="0"/>
        </c:dLbls>
        <c:smooth val="0"/>
        <c:axId val="1579127423"/>
        <c:axId val="1398935503"/>
      </c:lineChart>
      <c:catAx>
        <c:axId val="15791274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8935503"/>
        <c:crosses val="autoZero"/>
        <c:auto val="1"/>
        <c:lblAlgn val="ctr"/>
        <c:lblOffset val="100"/>
        <c:noMultiLvlLbl val="0"/>
      </c:catAx>
      <c:valAx>
        <c:axId val="1398935503"/>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791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[Q1_2024_Sales.xlsx]Top 5!Top 5</c:name>
    <c:fmtId val="3"/>
  </c:pivotSource>
  <c:chart>
    <c:title>
      <c:tx>
        <c:rich>
          <a:bodyPr rot="0" spcFirstLastPara="1" vertOverflow="ellipsis" vert="horz" wrap="square" anchor="ctr" anchorCtr="1"/>
          <a:lstStyle/>
          <a:p>
            <a:pPr algn="ctr" rtl="0">
              <a:defRPr sz="1200" b="0" i="0" u="none" strike="noStrike" kern="1200" spc="0" baseline="0">
                <a:solidFill>
                  <a:schemeClr val="tx1">
                    <a:lumMod val="65000"/>
                    <a:lumOff val="35000"/>
                  </a:schemeClr>
                </a:solidFill>
                <a:latin typeface="+mn-lt"/>
                <a:ea typeface="+mn-ea"/>
                <a:cs typeface="+mn-cs"/>
              </a:defRPr>
            </a:pPr>
            <a:r>
              <a:rPr lang="ar-SA"/>
              <a:t>Top </a:t>
            </a:r>
            <a:r>
              <a:rPr lang="en-US"/>
              <a:t>5 </a:t>
            </a:r>
            <a:r>
              <a:rPr lang="ar-SA"/>
              <a:t>Customers</a:t>
            </a:r>
          </a:p>
        </c:rich>
      </c:tx>
      <c:overlay val="0"/>
      <c:spPr>
        <a:noFill/>
        <a:ln>
          <a:noFill/>
        </a:ln>
        <a:effectLst/>
      </c:spPr>
      <c:txPr>
        <a:bodyPr rot="0" spcFirstLastPara="1" vertOverflow="ellipsis" vert="horz" wrap="square" anchor="ctr" anchorCtr="1"/>
        <a:lstStyle/>
        <a:p>
          <a:pPr algn="ctr" rtl="0">
            <a:defRPr sz="12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 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C-4C9D-8CD5-F6583BC126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C-4C9D-8CD5-F6583BC126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BC-4C9D-8CD5-F6583BC126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BC-4C9D-8CD5-F6583BC126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BC-4C9D-8CD5-F6583BC126C5}"/>
              </c:ext>
            </c:extLst>
          </c:dPt>
          <c:cat>
            <c:strRef>
              <c:f>'Top 5'!$A$4:$A$9</c:f>
              <c:strCache>
                <c:ptCount val="5"/>
                <c:pt idx="0">
                  <c:v>Al-Nour Company</c:v>
                </c:pt>
                <c:pt idx="1">
                  <c:v>Al-Amal Foundation</c:v>
                </c:pt>
                <c:pt idx="2">
                  <c:v>Sarah Khaled</c:v>
                </c:pt>
                <c:pt idx="3">
                  <c:v>Omar Youssef</c:v>
                </c:pt>
                <c:pt idx="4">
                  <c:v>Mohammed Hassan</c:v>
                </c:pt>
              </c:strCache>
            </c:strRef>
          </c:cat>
          <c:val>
            <c:numRef>
              <c:f>'Top 5'!$B$4:$B$9</c:f>
              <c:numCache>
                <c:formatCode>_-[$$-409]* #,##0_ ;_-[$$-409]* \-#,##0\ ;_-[$$-409]* "-"??_ ;_-@_ </c:formatCode>
                <c:ptCount val="5"/>
                <c:pt idx="0">
                  <c:v>36400</c:v>
                </c:pt>
                <c:pt idx="1">
                  <c:v>19700</c:v>
                </c:pt>
                <c:pt idx="2">
                  <c:v>13900</c:v>
                </c:pt>
                <c:pt idx="3">
                  <c:v>13500</c:v>
                </c:pt>
                <c:pt idx="4">
                  <c:v>12500</c:v>
                </c:pt>
              </c:numCache>
            </c:numRef>
          </c:val>
          <c:extLst>
            <c:ext xmlns:c16="http://schemas.microsoft.com/office/drawing/2014/chart" uri="{C3380CC4-5D6E-409C-BE32-E72D297353CC}">
              <c16:uniqueId val="{0000000A-B1BC-4C9D-8CD5-F6583BC126C5}"/>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Region!Sales by Region</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r>
              <a:rPr lang="en-US" sz="1800" b="0" i="0" u="none" strike="noStrike" kern="1200" spc="0" baseline="0">
                <a:solidFill>
                  <a:sysClr val="windowText" lastClr="000000">
                    <a:lumMod val="65000"/>
                    <a:lumOff val="35000"/>
                  </a:sysClr>
                </a:solidFill>
                <a:effectLst/>
                <a:latin typeface="+mn-lt"/>
                <a:ea typeface="+mn-ea"/>
                <a:cs typeface="+mn-cs"/>
              </a:rPr>
              <a:t>Sales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Aleppo</c:v>
                </c:pt>
                <c:pt idx="1">
                  <c:v>Damascus</c:v>
                </c:pt>
                <c:pt idx="2">
                  <c:v>Homs</c:v>
                </c:pt>
                <c:pt idx="3">
                  <c:v>Latakia</c:v>
                </c:pt>
              </c:strCache>
            </c:strRef>
          </c:cat>
          <c:val>
            <c:numRef>
              <c:f>'Sales by Region'!$B$4:$B$8</c:f>
              <c:numCache>
                <c:formatCode>_-[$$-409]* #,##0_ ;_-[$$-409]* \-#,##0\ ;_-[$$-409]* "-"??_ ;_-@_ </c:formatCode>
                <c:ptCount val="4"/>
                <c:pt idx="0">
                  <c:v>31150</c:v>
                </c:pt>
                <c:pt idx="1">
                  <c:v>39250</c:v>
                </c:pt>
                <c:pt idx="2">
                  <c:v>19600</c:v>
                </c:pt>
                <c:pt idx="3">
                  <c:v>15600</c:v>
                </c:pt>
              </c:numCache>
            </c:numRef>
          </c:val>
          <c:extLst>
            <c:ext xmlns:c16="http://schemas.microsoft.com/office/drawing/2014/chart" uri="{C3380CC4-5D6E-409C-BE32-E72D297353CC}">
              <c16:uniqueId val="{00000000-E3A7-49EE-AC5A-F6B7F9D6160D}"/>
            </c:ext>
          </c:extLst>
        </c:ser>
        <c:dLbls>
          <c:showLegendKey val="0"/>
          <c:showVal val="0"/>
          <c:showCatName val="0"/>
          <c:showSerName val="0"/>
          <c:showPercent val="0"/>
          <c:showBubbleSize val="0"/>
        </c:dLbls>
        <c:gapWidth val="219"/>
        <c:overlap val="-27"/>
        <c:axId val="604844624"/>
        <c:axId val="607338448"/>
      </c:barChart>
      <c:catAx>
        <c:axId val="6048446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338448"/>
        <c:crosses val="autoZero"/>
        <c:auto val="1"/>
        <c:lblAlgn val="ctr"/>
        <c:lblOffset val="100"/>
        <c:noMultiLvlLbl val="0"/>
      </c:catAx>
      <c:valAx>
        <c:axId val="607338448"/>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Sales Rep!Sales_by_Sales_Rep</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r>
              <a:rPr lang="en-US" sz="1800" b="0" i="0" u="none" strike="noStrike" kern="1200" spc="0" baseline="0">
                <a:solidFill>
                  <a:sysClr val="windowText" lastClr="000000">
                    <a:lumMod val="65000"/>
                    <a:lumOff val="35000"/>
                  </a:sysClr>
                </a:solidFill>
                <a:effectLst/>
                <a:latin typeface="+mn-lt"/>
                <a:ea typeface="+mn-ea"/>
                <a:cs typeface="+mn-cs"/>
              </a:rPr>
              <a:t>Sales by Sales Rep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cat>
            <c:strRef>
              <c:f>'Sales by Sales Rep'!$A$4:$A$7</c:f>
              <c:strCache>
                <c:ptCount val="3"/>
                <c:pt idx="0">
                  <c:v>Lina</c:v>
                </c:pt>
                <c:pt idx="1">
                  <c:v>Rami</c:v>
                </c:pt>
                <c:pt idx="2">
                  <c:v>Samer</c:v>
                </c:pt>
              </c:strCache>
            </c:strRef>
          </c:cat>
          <c:val>
            <c:numRef>
              <c:f>'Sales by Sales Rep'!$B$4:$B$7</c:f>
              <c:numCache>
                <c:formatCode>_-[$$-409]* #,##0_ ;_-[$$-409]* \-#,##0\ ;_-[$$-409]* "-"??_ ;_-@_ </c:formatCode>
                <c:ptCount val="3"/>
                <c:pt idx="0">
                  <c:v>26800</c:v>
                </c:pt>
                <c:pt idx="1">
                  <c:v>39000</c:v>
                </c:pt>
                <c:pt idx="2">
                  <c:v>39800</c:v>
                </c:pt>
              </c:numCache>
            </c:numRef>
          </c:val>
          <c:extLst>
            <c:ext xmlns:c16="http://schemas.microsoft.com/office/drawing/2014/chart" uri="{C3380CC4-5D6E-409C-BE32-E72D297353CC}">
              <c16:uniqueId val="{00000000-0D9D-4F84-8E18-BF6D16519D3B}"/>
            </c:ext>
          </c:extLst>
        </c:ser>
        <c:dLbls>
          <c:showLegendKey val="0"/>
          <c:showVal val="0"/>
          <c:showCatName val="0"/>
          <c:showSerName val="0"/>
          <c:showPercent val="0"/>
          <c:showBubbleSize val="0"/>
        </c:dLbls>
        <c:gapWidth val="182"/>
        <c:axId val="604830240"/>
        <c:axId val="607397488"/>
      </c:barChart>
      <c:catAx>
        <c:axId val="60483024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397488"/>
        <c:crosses val="autoZero"/>
        <c:auto val="1"/>
        <c:lblAlgn val="ctr"/>
        <c:lblOffset val="100"/>
        <c:noMultiLvlLbl val="0"/>
      </c:catAx>
      <c:valAx>
        <c:axId val="607397488"/>
        <c:scaling>
          <c:orientation val="maxMin"/>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3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Category!Sales by Category</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r>
              <a:rPr lang="en-US" sz="1800" b="0" i="0" u="none" strike="noStrike" kern="1200" spc="0" baseline="0">
                <a:solidFill>
                  <a:sysClr val="windowText" lastClr="000000">
                    <a:lumMod val="65000"/>
                    <a:lumOff val="35000"/>
                  </a:sysClr>
                </a:solidFill>
                <a:effectLst/>
                <a:latin typeface="+mn-lt"/>
                <a:ea typeface="+mn-ea"/>
                <a:cs typeface="+mn-cs"/>
              </a:rPr>
              <a:t>Sales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endParaRPr lang="ar-S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Category'!$A$4:$A$8</c:f>
              <c:strCache>
                <c:ptCount val="4"/>
                <c:pt idx="0">
                  <c:v>Accessories</c:v>
                </c:pt>
                <c:pt idx="1">
                  <c:v>Laptops</c:v>
                </c:pt>
                <c:pt idx="2">
                  <c:v>Monitors</c:v>
                </c:pt>
                <c:pt idx="3">
                  <c:v>Phones</c:v>
                </c:pt>
              </c:strCache>
            </c:strRef>
          </c:cat>
          <c:val>
            <c:numRef>
              <c:f>'Sales by Category'!$B$4:$B$8</c:f>
              <c:numCache>
                <c:formatCode>_-[$$-409]* #,##0_ ;_-[$$-409]* \-#,##0\ ;_-[$$-409]* "-"??_ ;_-@_ </c:formatCode>
                <c:ptCount val="4"/>
                <c:pt idx="0">
                  <c:v>19500</c:v>
                </c:pt>
                <c:pt idx="1">
                  <c:v>31800</c:v>
                </c:pt>
                <c:pt idx="2">
                  <c:v>13500</c:v>
                </c:pt>
                <c:pt idx="3">
                  <c:v>40800</c:v>
                </c:pt>
              </c:numCache>
            </c:numRef>
          </c:val>
          <c:extLst>
            <c:ext xmlns:c16="http://schemas.microsoft.com/office/drawing/2014/chart" uri="{C3380CC4-5D6E-409C-BE32-E72D297353CC}">
              <c16:uniqueId val="{00000000-7BFB-4A49-B060-D0790E6D28BC}"/>
            </c:ext>
          </c:extLst>
        </c:ser>
        <c:dLbls>
          <c:showLegendKey val="0"/>
          <c:showVal val="0"/>
          <c:showCatName val="0"/>
          <c:showSerName val="0"/>
          <c:showPercent val="0"/>
          <c:showBubbleSize val="0"/>
        </c:dLbls>
        <c:gapWidth val="150"/>
        <c:shape val="box"/>
        <c:axId val="604838592"/>
        <c:axId val="607403728"/>
        <c:axId val="0"/>
      </c:bar3DChart>
      <c:catAx>
        <c:axId val="604838592"/>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403728"/>
        <c:crosses val="autoZero"/>
        <c:auto val="1"/>
        <c:lblAlgn val="ctr"/>
        <c:lblOffset val="100"/>
        <c:noMultiLvlLbl val="0"/>
      </c:catAx>
      <c:valAx>
        <c:axId val="607403728"/>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3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[Q1_2024_Sales.xlsx]Product!Product</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r>
              <a:rPr lang="en-US" sz="1800" b="0" i="0" u="none" strike="noStrike" kern="1200" spc="0" baseline="0">
                <a:solidFill>
                  <a:sysClr val="windowText" lastClr="000000">
                    <a:lumMod val="65000"/>
                    <a:lumOff val="35000"/>
                  </a:sysClr>
                </a:solidFill>
                <a:effectLst/>
                <a:latin typeface="+mn-lt"/>
                <a:ea typeface="+mn-ea"/>
                <a:cs typeface="+mn-cs"/>
              </a:rPr>
              <a:t>Sales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0" i="0" u="none" strike="noStrike" kern="1200" spc="0" baseline="0">
              <a:solidFill>
                <a:sysClr val="windowText" lastClr="000000">
                  <a:lumMod val="65000"/>
                  <a:lumOff val="35000"/>
                </a:sysClr>
              </a:solidFill>
              <a:effectLst/>
              <a:latin typeface="+mn-lt"/>
              <a:ea typeface="+mn-ea"/>
              <a:cs typeface="+mn-cs"/>
            </a:defRPr>
          </a:pPr>
          <a:endParaRPr lang="ar-S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Product!$B$3</c:f>
              <c:strCache>
                <c:ptCount val="1"/>
                <c:pt idx="0">
                  <c:v>Total</c:v>
                </c:pt>
              </c:strCache>
            </c:strRef>
          </c:tx>
          <c:spPr>
            <a:solidFill>
              <a:schemeClr val="accent1"/>
            </a:solidFill>
            <a:ln>
              <a:noFill/>
            </a:ln>
            <a:effectLst/>
            <a:sp3d/>
          </c:spPr>
          <c:invertIfNegative val="0"/>
          <c:cat>
            <c:strRef>
              <c:f>Product!$A$4:$A$9</c:f>
              <c:strCache>
                <c:ptCount val="5"/>
                <c:pt idx="0">
                  <c:v>Smartphone X</c:v>
                </c:pt>
                <c:pt idx="1">
                  <c:v>Headphones Z</c:v>
                </c:pt>
                <c:pt idx="2">
                  <c:v>Laptop Pro</c:v>
                </c:pt>
                <c:pt idx="3">
                  <c:v>Laptop Air</c:v>
                </c:pt>
                <c:pt idx="4">
                  <c:v>Monitor 4K</c:v>
                </c:pt>
              </c:strCache>
            </c:strRef>
          </c:cat>
          <c:val>
            <c:numRef>
              <c:f>Product!$B$4:$B$9</c:f>
              <c:numCache>
                <c:formatCode>_-[$$-409]* #,##0_ ;_-[$$-409]* \-#,##0\ ;_-[$$-409]* "-"??_ ;_-@_ </c:formatCode>
                <c:ptCount val="5"/>
                <c:pt idx="0">
                  <c:v>40800</c:v>
                </c:pt>
                <c:pt idx="1">
                  <c:v>19500</c:v>
                </c:pt>
                <c:pt idx="2">
                  <c:v>16800</c:v>
                </c:pt>
                <c:pt idx="3">
                  <c:v>15000</c:v>
                </c:pt>
                <c:pt idx="4">
                  <c:v>13500</c:v>
                </c:pt>
              </c:numCache>
            </c:numRef>
          </c:val>
          <c:extLst>
            <c:ext xmlns:c16="http://schemas.microsoft.com/office/drawing/2014/chart" uri="{C3380CC4-5D6E-409C-BE32-E72D297353CC}">
              <c16:uniqueId val="{00000000-50B3-4730-AECC-A3F5D3D42804}"/>
            </c:ext>
          </c:extLst>
        </c:ser>
        <c:dLbls>
          <c:showLegendKey val="0"/>
          <c:showVal val="0"/>
          <c:showCatName val="0"/>
          <c:showSerName val="0"/>
          <c:showPercent val="0"/>
          <c:showBubbleSize val="0"/>
        </c:dLbls>
        <c:gapWidth val="150"/>
        <c:shape val="box"/>
        <c:axId val="1581223103"/>
        <c:axId val="1398882703"/>
        <c:axId val="0"/>
      </c:bar3DChart>
      <c:catAx>
        <c:axId val="15812231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8882703"/>
        <c:crosses val="autoZero"/>
        <c:auto val="1"/>
        <c:lblAlgn val="ctr"/>
        <c:lblOffset val="100"/>
        <c:noMultiLvlLbl val="0"/>
      </c:catAx>
      <c:valAx>
        <c:axId val="1398882703"/>
        <c:scaling>
          <c:orientation val="maxMin"/>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8122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Region!Sales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Aleppo</c:v>
                </c:pt>
                <c:pt idx="1">
                  <c:v>Damascus</c:v>
                </c:pt>
                <c:pt idx="2">
                  <c:v>Homs</c:v>
                </c:pt>
                <c:pt idx="3">
                  <c:v>Latakia</c:v>
                </c:pt>
              </c:strCache>
            </c:strRef>
          </c:cat>
          <c:val>
            <c:numRef>
              <c:f>'Sales by Region'!$B$4:$B$8</c:f>
              <c:numCache>
                <c:formatCode>_-[$$-409]* #,##0_ ;_-[$$-409]* \-#,##0\ ;_-[$$-409]* "-"??_ ;_-@_ </c:formatCode>
                <c:ptCount val="4"/>
                <c:pt idx="0">
                  <c:v>31150</c:v>
                </c:pt>
                <c:pt idx="1">
                  <c:v>39250</c:v>
                </c:pt>
                <c:pt idx="2">
                  <c:v>19600</c:v>
                </c:pt>
                <c:pt idx="3">
                  <c:v>15600</c:v>
                </c:pt>
              </c:numCache>
            </c:numRef>
          </c:val>
          <c:extLst>
            <c:ext xmlns:c16="http://schemas.microsoft.com/office/drawing/2014/chart" uri="{C3380CC4-5D6E-409C-BE32-E72D297353CC}">
              <c16:uniqueId val="{00000000-AE1E-4D4B-BFEA-C7BBFD193CE8}"/>
            </c:ext>
          </c:extLst>
        </c:ser>
        <c:dLbls>
          <c:showLegendKey val="0"/>
          <c:showVal val="0"/>
          <c:showCatName val="0"/>
          <c:showSerName val="0"/>
          <c:showPercent val="0"/>
          <c:showBubbleSize val="0"/>
        </c:dLbls>
        <c:gapWidth val="219"/>
        <c:overlap val="-27"/>
        <c:axId val="604844624"/>
        <c:axId val="607338448"/>
      </c:barChart>
      <c:catAx>
        <c:axId val="6048446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338448"/>
        <c:crosses val="autoZero"/>
        <c:auto val="1"/>
        <c:lblAlgn val="ctr"/>
        <c:lblOffset val="100"/>
        <c:noMultiLvlLbl val="0"/>
      </c:catAx>
      <c:valAx>
        <c:axId val="607338448"/>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Category!Sales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Category'!$A$4:$A$8</c:f>
              <c:strCache>
                <c:ptCount val="4"/>
                <c:pt idx="0">
                  <c:v>Accessories</c:v>
                </c:pt>
                <c:pt idx="1">
                  <c:v>Laptops</c:v>
                </c:pt>
                <c:pt idx="2">
                  <c:v>Monitors</c:v>
                </c:pt>
                <c:pt idx="3">
                  <c:v>Phones</c:v>
                </c:pt>
              </c:strCache>
            </c:strRef>
          </c:cat>
          <c:val>
            <c:numRef>
              <c:f>'Sales by Category'!$B$4:$B$8</c:f>
              <c:numCache>
                <c:formatCode>_-[$$-409]* #,##0_ ;_-[$$-409]* \-#,##0\ ;_-[$$-409]* "-"??_ ;_-@_ </c:formatCode>
                <c:ptCount val="4"/>
                <c:pt idx="0">
                  <c:v>19500</c:v>
                </c:pt>
                <c:pt idx="1">
                  <c:v>31800</c:v>
                </c:pt>
                <c:pt idx="2">
                  <c:v>13500</c:v>
                </c:pt>
                <c:pt idx="3">
                  <c:v>40800</c:v>
                </c:pt>
              </c:numCache>
            </c:numRef>
          </c:val>
          <c:extLst>
            <c:ext xmlns:c16="http://schemas.microsoft.com/office/drawing/2014/chart" uri="{C3380CC4-5D6E-409C-BE32-E72D297353CC}">
              <c16:uniqueId val="{00000000-7185-43FE-B096-D8BA3E63719A}"/>
            </c:ext>
          </c:extLst>
        </c:ser>
        <c:dLbls>
          <c:showLegendKey val="0"/>
          <c:showVal val="0"/>
          <c:showCatName val="0"/>
          <c:showSerName val="0"/>
          <c:showPercent val="0"/>
          <c:showBubbleSize val="0"/>
        </c:dLbls>
        <c:gapWidth val="150"/>
        <c:shape val="box"/>
        <c:axId val="604838592"/>
        <c:axId val="607403728"/>
        <c:axId val="0"/>
      </c:bar3DChart>
      <c:catAx>
        <c:axId val="604838592"/>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403728"/>
        <c:crosses val="autoZero"/>
        <c:auto val="1"/>
        <c:lblAlgn val="ctr"/>
        <c:lblOffset val="100"/>
        <c:noMultiLvlLbl val="0"/>
      </c:catAx>
      <c:valAx>
        <c:axId val="607403728"/>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3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[Q1_2024_Sales.xlsx]Sales by Sales Rep!Sales_by_Sales_Rep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ar-SA" baseline="0"/>
              <a:t> </a:t>
            </a:r>
            <a:r>
              <a:rPr lang="en-US"/>
              <a:t>by</a:t>
            </a:r>
            <a:r>
              <a:rPr lang="ar-SA" baseline="0"/>
              <a:t> </a:t>
            </a:r>
            <a:r>
              <a:rPr lang="en-US"/>
              <a:t>Sales</a:t>
            </a:r>
            <a:r>
              <a:rPr lang="ar-SA" baseline="0"/>
              <a:t> </a:t>
            </a:r>
            <a:r>
              <a:rPr lang="en-US"/>
              <a:t>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cat>
            <c:strRef>
              <c:f>'Sales by Sales Rep'!$A$4:$A$7</c:f>
              <c:strCache>
                <c:ptCount val="3"/>
                <c:pt idx="0">
                  <c:v>Lina</c:v>
                </c:pt>
                <c:pt idx="1">
                  <c:v>Rami</c:v>
                </c:pt>
                <c:pt idx="2">
                  <c:v>Samer</c:v>
                </c:pt>
              </c:strCache>
            </c:strRef>
          </c:cat>
          <c:val>
            <c:numRef>
              <c:f>'Sales by Sales Rep'!$B$4:$B$7</c:f>
              <c:numCache>
                <c:formatCode>_-[$$-409]* #,##0_ ;_-[$$-409]* \-#,##0\ ;_-[$$-409]* "-"??_ ;_-@_ </c:formatCode>
                <c:ptCount val="3"/>
                <c:pt idx="0">
                  <c:v>26800</c:v>
                </c:pt>
                <c:pt idx="1">
                  <c:v>39000</c:v>
                </c:pt>
                <c:pt idx="2">
                  <c:v>39800</c:v>
                </c:pt>
              </c:numCache>
            </c:numRef>
          </c:val>
          <c:extLst>
            <c:ext xmlns:c16="http://schemas.microsoft.com/office/drawing/2014/chart" uri="{C3380CC4-5D6E-409C-BE32-E72D297353CC}">
              <c16:uniqueId val="{00000000-069F-49BE-8F41-5EE7AC5E81A1}"/>
            </c:ext>
          </c:extLst>
        </c:ser>
        <c:dLbls>
          <c:showLegendKey val="0"/>
          <c:showVal val="0"/>
          <c:showCatName val="0"/>
          <c:showSerName val="0"/>
          <c:showPercent val="0"/>
          <c:showBubbleSize val="0"/>
        </c:dLbls>
        <c:gapWidth val="182"/>
        <c:axId val="604830240"/>
        <c:axId val="607397488"/>
      </c:barChart>
      <c:catAx>
        <c:axId val="60483024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7397488"/>
        <c:crosses val="autoZero"/>
        <c:auto val="1"/>
        <c:lblAlgn val="ctr"/>
        <c:lblOffset val="100"/>
        <c:noMultiLvlLbl val="0"/>
      </c:catAx>
      <c:valAx>
        <c:axId val="607397488"/>
        <c:scaling>
          <c:orientation val="maxMin"/>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483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[Q1_2024_Sales.xlsx]Monthly Trend!Monthly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400" b="0" i="0" u="none" strike="noStrike" kern="1200" spc="0" baseline="0">
                <a:solidFill>
                  <a:sysClr val="windowText" lastClr="000000">
                    <a:lumMod val="65000"/>
                    <a:lumOff val="35000"/>
                  </a:sysClr>
                </a:solidFill>
                <a:effectLst/>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Trend'!$A$4:$A$7</c:f>
              <c:strCache>
                <c:ptCount val="3"/>
                <c:pt idx="0">
                  <c:v>March</c:v>
                </c:pt>
                <c:pt idx="1">
                  <c:v>February</c:v>
                </c:pt>
                <c:pt idx="2">
                  <c:v>January</c:v>
                </c:pt>
              </c:strCache>
            </c:strRef>
          </c:cat>
          <c:val>
            <c:numRef>
              <c:f>'Monthly Trend'!$B$4:$B$7</c:f>
              <c:numCache>
                <c:formatCode>_-[$$-409]* #,##0_ ;_-[$$-409]* \-#,##0\ ;_-[$$-409]* "-"??_ ;_-@_ </c:formatCode>
                <c:ptCount val="3"/>
                <c:pt idx="0">
                  <c:v>45000</c:v>
                </c:pt>
                <c:pt idx="1">
                  <c:v>33350</c:v>
                </c:pt>
                <c:pt idx="2">
                  <c:v>27250</c:v>
                </c:pt>
              </c:numCache>
            </c:numRef>
          </c:val>
          <c:smooth val="0"/>
          <c:extLst>
            <c:ext xmlns:c16="http://schemas.microsoft.com/office/drawing/2014/chart" uri="{C3380CC4-5D6E-409C-BE32-E72D297353CC}">
              <c16:uniqueId val="{00000000-676B-410A-9D49-2350A7F0E050}"/>
            </c:ext>
          </c:extLst>
        </c:ser>
        <c:dLbls>
          <c:showLegendKey val="0"/>
          <c:showVal val="0"/>
          <c:showCatName val="0"/>
          <c:showSerName val="0"/>
          <c:showPercent val="0"/>
          <c:showBubbleSize val="0"/>
        </c:dLbls>
        <c:smooth val="0"/>
        <c:axId val="1579127423"/>
        <c:axId val="1398935503"/>
      </c:lineChart>
      <c:catAx>
        <c:axId val="15791274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8935503"/>
        <c:crosses val="autoZero"/>
        <c:auto val="1"/>
        <c:lblAlgn val="ctr"/>
        <c:lblOffset val="100"/>
        <c:noMultiLvlLbl val="0"/>
      </c:catAx>
      <c:valAx>
        <c:axId val="1398935503"/>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791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[Q1_2024_Sales.xlsx]Top 5!Top 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400" b="0" i="0" u="none" strike="noStrike" kern="1200" spc="0" baseline="0">
                <a:solidFill>
                  <a:sysClr val="windowText" lastClr="000000">
                    <a:lumMod val="65000"/>
                    <a:lumOff val="35000"/>
                  </a:sysClr>
                </a:solidFill>
                <a:effectLst/>
              </a:rPr>
              <a:t>Top </a:t>
            </a:r>
            <a:r>
              <a:rPr lang="en-US" sz="1400" b="0" i="0" u="none" strike="noStrike" kern="1200" spc="0" baseline="0">
                <a:solidFill>
                  <a:sysClr val="windowText" lastClr="000000">
                    <a:lumMod val="65000"/>
                    <a:lumOff val="35000"/>
                  </a:sysClr>
                </a:solidFill>
                <a:effectLst/>
              </a:rPr>
              <a:t>5 </a:t>
            </a:r>
            <a:r>
              <a:rPr lang="ar-SA" sz="1400" b="0" i="0" u="none" strike="noStrike" kern="1200" spc="0" baseline="0">
                <a:solidFill>
                  <a:sysClr val="windowText" lastClr="000000">
                    <a:lumMod val="65000"/>
                    <a:lumOff val="35000"/>
                  </a:sysClr>
                </a:solidFill>
                <a:effectLst/>
              </a:rPr>
              <a:t>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5-41CB-AAE7-74F0CF6E6A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5-41CB-AAE7-74F0CF6E6A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C5-41CB-AAE7-74F0CF6E6A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C5-41CB-AAE7-74F0CF6E6A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C5-41CB-AAE7-74F0CF6E6A6F}"/>
              </c:ext>
            </c:extLst>
          </c:dPt>
          <c:cat>
            <c:strRef>
              <c:f>'Top 5'!$A$4:$A$9</c:f>
              <c:strCache>
                <c:ptCount val="5"/>
                <c:pt idx="0">
                  <c:v>Al-Nour Company</c:v>
                </c:pt>
                <c:pt idx="1">
                  <c:v>Al-Amal Foundation</c:v>
                </c:pt>
                <c:pt idx="2">
                  <c:v>Sarah Khaled</c:v>
                </c:pt>
                <c:pt idx="3">
                  <c:v>Omar Youssef</c:v>
                </c:pt>
                <c:pt idx="4">
                  <c:v>Mohammed Hassan</c:v>
                </c:pt>
              </c:strCache>
            </c:strRef>
          </c:cat>
          <c:val>
            <c:numRef>
              <c:f>'Top 5'!$B$4:$B$9</c:f>
              <c:numCache>
                <c:formatCode>_-[$$-409]* #,##0_ ;_-[$$-409]* \-#,##0\ ;_-[$$-409]* "-"??_ ;_-@_ </c:formatCode>
                <c:ptCount val="5"/>
                <c:pt idx="0">
                  <c:v>36400</c:v>
                </c:pt>
                <c:pt idx="1">
                  <c:v>19700</c:v>
                </c:pt>
                <c:pt idx="2">
                  <c:v>13900</c:v>
                </c:pt>
                <c:pt idx="3">
                  <c:v>13500</c:v>
                </c:pt>
                <c:pt idx="4">
                  <c:v>12500</c:v>
                </c:pt>
              </c:numCache>
            </c:numRef>
          </c:val>
          <c:extLst>
            <c:ext xmlns:c16="http://schemas.microsoft.com/office/drawing/2014/chart" uri="{C3380CC4-5D6E-409C-BE32-E72D297353CC}">
              <c16:uniqueId val="{00000000-48DC-4828-8BC3-B34DABD82710}"/>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[Q1_2024_Sales.xlsx]Product!Product</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S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Product!$B$3</c:f>
              <c:strCache>
                <c:ptCount val="1"/>
                <c:pt idx="0">
                  <c:v>Total</c:v>
                </c:pt>
              </c:strCache>
            </c:strRef>
          </c:tx>
          <c:spPr>
            <a:solidFill>
              <a:schemeClr val="accent1"/>
            </a:solidFill>
            <a:ln>
              <a:noFill/>
            </a:ln>
            <a:effectLst/>
            <a:sp3d/>
          </c:spPr>
          <c:invertIfNegative val="0"/>
          <c:cat>
            <c:strRef>
              <c:f>Product!$A$4:$A$9</c:f>
              <c:strCache>
                <c:ptCount val="5"/>
                <c:pt idx="0">
                  <c:v>Smartphone X</c:v>
                </c:pt>
                <c:pt idx="1">
                  <c:v>Headphones Z</c:v>
                </c:pt>
                <c:pt idx="2">
                  <c:v>Laptop Pro</c:v>
                </c:pt>
                <c:pt idx="3">
                  <c:v>Laptop Air</c:v>
                </c:pt>
                <c:pt idx="4">
                  <c:v>Monitor 4K</c:v>
                </c:pt>
              </c:strCache>
            </c:strRef>
          </c:cat>
          <c:val>
            <c:numRef>
              <c:f>Product!$B$4:$B$9</c:f>
              <c:numCache>
                <c:formatCode>_-[$$-409]* #,##0_ ;_-[$$-409]* \-#,##0\ ;_-[$$-409]* "-"??_ ;_-@_ </c:formatCode>
                <c:ptCount val="5"/>
                <c:pt idx="0">
                  <c:v>40800</c:v>
                </c:pt>
                <c:pt idx="1">
                  <c:v>19500</c:v>
                </c:pt>
                <c:pt idx="2">
                  <c:v>16800</c:v>
                </c:pt>
                <c:pt idx="3">
                  <c:v>15000</c:v>
                </c:pt>
                <c:pt idx="4">
                  <c:v>13500</c:v>
                </c:pt>
              </c:numCache>
            </c:numRef>
          </c:val>
          <c:extLst>
            <c:ext xmlns:c16="http://schemas.microsoft.com/office/drawing/2014/chart" uri="{C3380CC4-5D6E-409C-BE32-E72D297353CC}">
              <c16:uniqueId val="{00000000-628A-415F-8336-3E78A9C2C359}"/>
            </c:ext>
          </c:extLst>
        </c:ser>
        <c:dLbls>
          <c:showLegendKey val="0"/>
          <c:showVal val="0"/>
          <c:showCatName val="0"/>
          <c:showSerName val="0"/>
          <c:showPercent val="0"/>
          <c:showBubbleSize val="0"/>
        </c:dLbls>
        <c:gapWidth val="150"/>
        <c:shape val="box"/>
        <c:axId val="1581223103"/>
        <c:axId val="1398882703"/>
        <c:axId val="0"/>
      </c:bar3DChart>
      <c:catAx>
        <c:axId val="15812231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8882703"/>
        <c:crosses val="autoZero"/>
        <c:auto val="1"/>
        <c:lblAlgn val="ctr"/>
        <c:lblOffset val="100"/>
        <c:noMultiLvlLbl val="0"/>
      </c:catAx>
      <c:valAx>
        <c:axId val="1398882703"/>
        <c:scaling>
          <c:orientation val="maxMin"/>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8122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499535</xdr:colOff>
      <xdr:row>13</xdr:row>
      <xdr:rowOff>40640</xdr:rowOff>
    </xdr:from>
    <xdr:to>
      <xdr:col>4</xdr:col>
      <xdr:colOff>982134</xdr:colOff>
      <xdr:row>25</xdr:row>
      <xdr:rowOff>31040</xdr:rowOff>
    </xdr:to>
    <xdr:graphicFrame macro="">
      <xdr:nvGraphicFramePr>
        <xdr:cNvPr id="5" name="Chart 4">
          <a:extLst>
            <a:ext uri="{FF2B5EF4-FFF2-40B4-BE49-F238E27FC236}">
              <a16:creationId xmlns:a16="http://schemas.microsoft.com/office/drawing/2014/main" id="{3AE85276-10A0-4043-9651-50D217372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963507</xdr:colOff>
      <xdr:row>13</xdr:row>
      <xdr:rowOff>40640</xdr:rowOff>
    </xdr:from>
    <xdr:to>
      <xdr:col>9</xdr:col>
      <xdr:colOff>539840</xdr:colOff>
      <xdr:row>25</xdr:row>
      <xdr:rowOff>31040</xdr:rowOff>
    </xdr:to>
    <xdr:graphicFrame macro="">
      <xdr:nvGraphicFramePr>
        <xdr:cNvPr id="6" name="Chart 5">
          <a:extLst>
            <a:ext uri="{FF2B5EF4-FFF2-40B4-BE49-F238E27FC236}">
              <a16:creationId xmlns:a16="http://schemas.microsoft.com/office/drawing/2014/main" id="{D8FAE5E0-4742-4E4D-B302-969EC6B5C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499533</xdr:colOff>
      <xdr:row>1</xdr:row>
      <xdr:rowOff>50801</xdr:rowOff>
    </xdr:from>
    <xdr:to>
      <xdr:col>4</xdr:col>
      <xdr:colOff>981800</xdr:colOff>
      <xdr:row>13</xdr:row>
      <xdr:rowOff>42335</xdr:rowOff>
    </xdr:to>
    <xdr:graphicFrame macro="">
      <xdr:nvGraphicFramePr>
        <xdr:cNvPr id="21" name="Chart 20">
          <a:extLst>
            <a:ext uri="{FF2B5EF4-FFF2-40B4-BE49-F238E27FC236}">
              <a16:creationId xmlns:a16="http://schemas.microsoft.com/office/drawing/2014/main" id="{EE0B5174-7FCC-4DC2-BB02-4822C0F6D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421838</xdr:colOff>
      <xdr:row>2</xdr:row>
      <xdr:rowOff>95625</xdr:rowOff>
    </xdr:from>
    <xdr:to>
      <xdr:col>18</xdr:col>
      <xdr:colOff>528779</xdr:colOff>
      <xdr:row>7</xdr:row>
      <xdr:rowOff>171824</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DB26B863-C850-4933-9055-6177F2DC58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51085" y="534896"/>
              <a:ext cx="2124000" cy="97266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538876</xdr:colOff>
      <xdr:row>2</xdr:row>
      <xdr:rowOff>95625</xdr:rowOff>
    </xdr:from>
    <xdr:to>
      <xdr:col>21</xdr:col>
      <xdr:colOff>645817</xdr:colOff>
      <xdr:row>7</xdr:row>
      <xdr:rowOff>171823</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E3826337-7D65-4D49-AABD-2842D9A074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685182" y="534896"/>
              <a:ext cx="2124000" cy="972668"/>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550335</xdr:colOff>
      <xdr:row>1</xdr:row>
      <xdr:rowOff>50800</xdr:rowOff>
    </xdr:from>
    <xdr:to>
      <xdr:col>15</xdr:col>
      <xdr:colOff>389135</xdr:colOff>
      <xdr:row>13</xdr:row>
      <xdr:rowOff>41200</xdr:rowOff>
    </xdr:to>
    <xdr:graphicFrame macro="">
      <xdr:nvGraphicFramePr>
        <xdr:cNvPr id="24" name="Chart 23">
          <a:extLst>
            <a:ext uri="{FF2B5EF4-FFF2-40B4-BE49-F238E27FC236}">
              <a16:creationId xmlns:a16="http://schemas.microsoft.com/office/drawing/2014/main" id="{FEE2AB23-A66B-4B6D-8F82-28829FBE4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309282</xdr:colOff>
      <xdr:row>9</xdr:row>
      <xdr:rowOff>14445</xdr:rowOff>
    </xdr:from>
    <xdr:to>
      <xdr:col>20</xdr:col>
      <xdr:colOff>368550</xdr:colOff>
      <xdr:row>13</xdr:row>
      <xdr:rowOff>17268</xdr:rowOff>
    </xdr:to>
    <mc:AlternateContent xmlns:mc="http://schemas.openxmlformats.org/markup-compatibility/2006">
      <mc:Choice xmlns:a14="http://schemas.microsoft.com/office/drawing/2010/main" Requires="a14">
        <xdr:graphicFrame macro="">
          <xdr:nvGraphicFramePr>
            <xdr:cNvPr id="25" name="Sales_Rep 1">
              <a:extLst>
                <a:ext uri="{FF2B5EF4-FFF2-40B4-BE49-F238E27FC236}">
                  <a16:creationId xmlns:a16="http://schemas.microsoft.com/office/drawing/2014/main" id="{712A3639-7C84-4A23-BC24-4E1FBD110946}"/>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13110882" y="1708774"/>
              <a:ext cx="2748680" cy="7200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308784</xdr:colOff>
      <xdr:row>13</xdr:row>
      <xdr:rowOff>173317</xdr:rowOff>
    </xdr:from>
    <xdr:to>
      <xdr:col>20</xdr:col>
      <xdr:colOff>368052</xdr:colOff>
      <xdr:row>17</xdr:row>
      <xdr:rowOff>176141</xdr:rowOff>
    </xdr:to>
    <mc:AlternateContent xmlns:mc="http://schemas.openxmlformats.org/markup-compatibility/2006">
      <mc:Choice xmlns:a14="http://schemas.microsoft.com/office/drawing/2010/main" Requires="a14">
        <xdr:graphicFrame macro="">
          <xdr:nvGraphicFramePr>
            <xdr:cNvPr id="26" name="Month 1">
              <a:extLst>
                <a:ext uri="{FF2B5EF4-FFF2-40B4-BE49-F238E27FC236}">
                  <a16:creationId xmlns:a16="http://schemas.microsoft.com/office/drawing/2014/main" id="{C635931C-D1A8-4AD5-908B-DBD2BC05363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110384" y="2584823"/>
              <a:ext cx="2748680" cy="7200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973668</xdr:colOff>
      <xdr:row>1</xdr:row>
      <xdr:rowOff>50799</xdr:rowOff>
    </xdr:from>
    <xdr:to>
      <xdr:col>9</xdr:col>
      <xdr:colOff>550001</xdr:colOff>
      <xdr:row>13</xdr:row>
      <xdr:rowOff>41199</xdr:rowOff>
    </xdr:to>
    <xdr:graphicFrame macro="">
      <xdr:nvGraphicFramePr>
        <xdr:cNvPr id="27" name="Chart 26">
          <a:extLst>
            <a:ext uri="{FF2B5EF4-FFF2-40B4-BE49-F238E27FC236}">
              <a16:creationId xmlns:a16="http://schemas.microsoft.com/office/drawing/2014/main" id="{75E1BC3F-C39F-4E6A-9D6D-BEEABB1F4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423335</xdr:colOff>
      <xdr:row>25</xdr:row>
      <xdr:rowOff>33864</xdr:rowOff>
    </xdr:from>
    <xdr:ext cx="7416000" cy="1440000"/>
    <xdr:sp macro="" textlink="">
      <xdr:nvSpPr>
        <xdr:cNvPr id="28" name="TextBox 27">
          <a:extLst>
            <a:ext uri="{FF2B5EF4-FFF2-40B4-BE49-F238E27FC236}">
              <a16:creationId xmlns:a16="http://schemas.microsoft.com/office/drawing/2014/main" id="{2E6F5D92-F29F-E3BA-93CF-AA7C15AEFF61}"/>
            </a:ext>
          </a:extLst>
        </xdr:cNvPr>
        <xdr:cNvSpPr txBox="1"/>
      </xdr:nvSpPr>
      <xdr:spPr>
        <a:xfrm>
          <a:off x="423335" y="4563531"/>
          <a:ext cx="7416000" cy="14400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algn="l"/>
          <a:r>
            <a:rPr lang="ar-SA" sz="1600" b="1" i="0">
              <a:solidFill>
                <a:schemeClr val="tx1"/>
              </a:solidFill>
              <a:effectLst/>
              <a:latin typeface="+mn-lt"/>
              <a:ea typeface="+mn-ea"/>
              <a:cs typeface="+mn-cs"/>
            </a:rPr>
            <a:t> </a:t>
          </a:r>
          <a:r>
            <a:rPr lang="ar-SA" sz="1600" b="0" i="0">
              <a:solidFill>
                <a:schemeClr val="tx1"/>
              </a:solidFill>
              <a:effectLst/>
              <a:latin typeface="+mn-lt"/>
              <a:ea typeface="+mn-ea"/>
              <a:cs typeface="+mn-cs"/>
            </a:rPr>
            <a:t>Key Insights:</a:t>
          </a:r>
          <a:br>
            <a:rPr lang="ar-SA" sz="1800" b="0">
              <a:solidFill>
                <a:schemeClr val="tx1"/>
              </a:solidFill>
            </a:rPr>
          </a:br>
          <a:r>
            <a:rPr lang="ar-SA" sz="1600" b="0" i="0">
              <a:solidFill>
                <a:schemeClr val="tx1"/>
              </a:solidFill>
              <a:effectLst/>
              <a:latin typeface="+mn-lt"/>
              <a:ea typeface="+mn-ea"/>
              <a:cs typeface="+mn-cs"/>
            </a:rPr>
            <a:t>• Damascus is the top</a:t>
          </a:r>
          <a:r>
            <a:rPr lang="ar-SA" sz="1600" b="0" i="0" baseline="0">
              <a:solidFill>
                <a:schemeClr val="tx1"/>
              </a:solidFill>
              <a:effectLst/>
              <a:latin typeface="+mn-lt"/>
              <a:ea typeface="+mn-ea"/>
              <a:cs typeface="+mn-cs"/>
            </a:rPr>
            <a:t>-</a:t>
          </a:r>
          <a:r>
            <a:rPr lang="ar-SA" sz="1600" b="0" i="0">
              <a:solidFill>
                <a:schemeClr val="tx1"/>
              </a:solidFill>
              <a:effectLst/>
              <a:latin typeface="+mn-lt"/>
              <a:ea typeface="+mn-ea"/>
              <a:cs typeface="+mn-cs"/>
            </a:rPr>
            <a:t>performing region with </a:t>
          </a:r>
          <a:r>
            <a:rPr lang="en-US" sz="1600" b="0" i="0">
              <a:solidFill>
                <a:schemeClr val="tx1"/>
              </a:solidFill>
              <a:effectLst/>
              <a:latin typeface="+mn-lt"/>
              <a:ea typeface="+mn-ea"/>
              <a:cs typeface="+mn-cs"/>
            </a:rPr>
            <a:t>$39,250</a:t>
          </a:r>
          <a:r>
            <a:rPr lang="ar-SA" sz="1600" b="0" i="0">
              <a:solidFill>
                <a:schemeClr val="tx1"/>
              </a:solidFill>
              <a:effectLst/>
              <a:latin typeface="+mn-lt"/>
              <a:ea typeface="+mn-ea"/>
              <a:cs typeface="+mn-cs"/>
            </a:rPr>
            <a:t>, contributing </a:t>
          </a:r>
          <a:r>
            <a:rPr lang="en-US" sz="1600" b="0" i="0">
              <a:solidFill>
                <a:schemeClr val="tx1"/>
              </a:solidFill>
              <a:effectLst/>
              <a:latin typeface="+mn-lt"/>
              <a:ea typeface="+mn-ea"/>
              <a:cs typeface="+mn-cs"/>
            </a:rPr>
            <a:t>37%</a:t>
          </a:r>
          <a:r>
            <a:rPr lang="en-US" sz="1600" b="0" i="0" baseline="0">
              <a:solidFill>
                <a:schemeClr val="tx1"/>
              </a:solidFill>
              <a:effectLst/>
              <a:latin typeface="+mn-lt"/>
              <a:ea typeface="+mn-ea"/>
              <a:cs typeface="+mn-cs"/>
            </a:rPr>
            <a:t> </a:t>
          </a:r>
          <a:r>
            <a:rPr lang="ar-SA" sz="1600" b="0" i="0">
              <a:solidFill>
                <a:schemeClr val="tx1"/>
              </a:solidFill>
              <a:effectLst/>
              <a:latin typeface="+mn-lt"/>
              <a:ea typeface="+mn-ea"/>
              <a:cs typeface="+mn-cs"/>
            </a:rPr>
            <a:t> of total sales.</a:t>
          </a:r>
          <a:br>
            <a:rPr lang="ar-SA" sz="1800" b="0">
              <a:solidFill>
                <a:schemeClr val="tx1"/>
              </a:solidFill>
            </a:rPr>
          </a:br>
          <a:r>
            <a:rPr lang="ar-SA" sz="1600" b="0" i="0">
              <a:solidFill>
                <a:schemeClr val="tx1"/>
              </a:solidFill>
              <a:effectLst/>
              <a:latin typeface="+mn-lt"/>
              <a:ea typeface="+mn-ea"/>
              <a:cs typeface="+mn-cs"/>
            </a:rPr>
            <a:t>• Smartphone X is the highest revenue</a:t>
          </a:r>
          <a:r>
            <a:rPr lang="ar-SA" sz="1600" b="0" i="0" baseline="0">
              <a:solidFill>
                <a:schemeClr val="tx1"/>
              </a:solidFill>
              <a:effectLst/>
              <a:latin typeface="+mn-lt"/>
              <a:ea typeface="+mn-ea"/>
              <a:cs typeface="+mn-cs"/>
            </a:rPr>
            <a:t>-</a:t>
          </a:r>
          <a:r>
            <a:rPr lang="ar-SA" sz="1600" b="0" i="0">
              <a:solidFill>
                <a:schemeClr val="tx1"/>
              </a:solidFill>
              <a:effectLst/>
              <a:latin typeface="+mn-lt"/>
              <a:ea typeface="+mn-ea"/>
              <a:cs typeface="+mn-cs"/>
            </a:rPr>
            <a:t>generating product.</a:t>
          </a:r>
          <a:br>
            <a:rPr lang="ar-SA" sz="1800" b="0">
              <a:solidFill>
                <a:schemeClr val="tx1"/>
              </a:solidFill>
            </a:rPr>
          </a:br>
          <a:r>
            <a:rPr lang="ar-SA" sz="1600" b="0" i="0">
              <a:solidFill>
                <a:schemeClr val="tx1"/>
              </a:solidFill>
              <a:effectLst/>
              <a:latin typeface="+mn-lt"/>
              <a:ea typeface="+mn-ea"/>
              <a:cs typeface="+mn-cs"/>
            </a:rPr>
            <a:t>• Samer is the top sales representative, driving over</a:t>
          </a:r>
          <a:r>
            <a:rPr lang="en-US" sz="1100" b="0" i="0">
              <a:solidFill>
                <a:schemeClr val="tx1"/>
              </a:solidFill>
              <a:effectLst/>
              <a:latin typeface="+mn-lt"/>
              <a:ea typeface="+mn-ea"/>
              <a:cs typeface="+mn-cs"/>
            </a:rPr>
            <a:t>$</a:t>
          </a:r>
          <a:r>
            <a:rPr lang="en-US" sz="1600" b="0" i="0">
              <a:solidFill>
                <a:schemeClr val="tx1"/>
              </a:solidFill>
              <a:effectLst/>
              <a:latin typeface="+mn-lt"/>
              <a:ea typeface="+mn-ea"/>
              <a:cs typeface="+mn-cs"/>
            </a:rPr>
            <a:t>$39,800</a:t>
          </a:r>
          <a:r>
            <a:rPr lang="ar-SA" sz="1600" b="0" i="0">
              <a:solidFill>
                <a:schemeClr val="tx1"/>
              </a:solidFill>
              <a:effectLst/>
              <a:latin typeface="+mn-lt"/>
              <a:ea typeface="+mn-ea"/>
              <a:cs typeface="+mn-cs"/>
            </a:rPr>
            <a:t> in sales.</a:t>
          </a:r>
          <a:br>
            <a:rPr lang="ar-SA" sz="1800" b="0">
              <a:solidFill>
                <a:schemeClr val="tx1"/>
              </a:solidFill>
            </a:rPr>
          </a:br>
          <a:r>
            <a:rPr lang="ar-SA" sz="1600" b="0" i="0">
              <a:solidFill>
                <a:schemeClr val="tx1"/>
              </a:solidFill>
              <a:effectLst/>
              <a:latin typeface="+mn-lt"/>
              <a:ea typeface="+mn-ea"/>
              <a:cs typeface="+mn-cs"/>
            </a:rPr>
            <a:t>• Sales show a positive growth trend, increasing by </a:t>
          </a:r>
          <a:r>
            <a:rPr lang="en-US" sz="1600" b="0" i="0">
              <a:solidFill>
                <a:schemeClr val="tx1"/>
              </a:solidFill>
              <a:effectLst/>
              <a:latin typeface="+mn-lt"/>
              <a:ea typeface="+mn-ea"/>
              <a:cs typeface="+mn-cs"/>
            </a:rPr>
            <a:t>+65%</a:t>
          </a:r>
          <a:r>
            <a:rPr lang="ar-SA" sz="1600" b="0" i="0">
              <a:solidFill>
                <a:schemeClr val="tx1"/>
              </a:solidFill>
              <a:effectLst/>
              <a:latin typeface="+mn-lt"/>
              <a:ea typeface="+mn-ea"/>
              <a:cs typeface="+mn-cs"/>
            </a:rPr>
            <a:t> from January to March.</a:t>
          </a:r>
          <a:endParaRPr lang="ar-SA" sz="1800" b="0">
            <a:solidFill>
              <a:schemeClr val="tx1"/>
            </a:solidFill>
          </a:endParaRPr>
        </a:p>
      </xdr:txBody>
    </xdr:sp>
    <xdr:clientData/>
  </xdr:oneCellAnchor>
  <xdr:oneCellAnchor>
    <xdr:from>
      <xdr:col>9</xdr:col>
      <xdr:colOff>634999</xdr:colOff>
      <xdr:row>25</xdr:row>
      <xdr:rowOff>50801</xdr:rowOff>
    </xdr:from>
    <xdr:ext cx="7416000" cy="1440000"/>
    <xdr:sp macro="" textlink="">
      <xdr:nvSpPr>
        <xdr:cNvPr id="30" name="TextBox 29">
          <a:extLst>
            <a:ext uri="{FF2B5EF4-FFF2-40B4-BE49-F238E27FC236}">
              <a16:creationId xmlns:a16="http://schemas.microsoft.com/office/drawing/2014/main" id="{1DCD00B9-C30B-4626-82AC-CDC8C64B52B8}"/>
            </a:ext>
          </a:extLst>
        </xdr:cNvPr>
        <xdr:cNvSpPr txBox="1"/>
      </xdr:nvSpPr>
      <xdr:spPr>
        <a:xfrm>
          <a:off x="8280399" y="4580468"/>
          <a:ext cx="7416000" cy="14400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algn="l"/>
          <a:r>
            <a:rPr lang="ar-SA" sz="1600" b="0" i="0">
              <a:solidFill>
                <a:schemeClr val="tx1"/>
              </a:solidFill>
              <a:effectLst/>
              <a:latin typeface="+mn-lt"/>
              <a:ea typeface="+mn-ea"/>
              <a:cs typeface="+mn-cs"/>
            </a:rPr>
            <a:t>Recommendations:</a:t>
          </a:r>
        </a:p>
        <a:p>
          <a:pPr lvl="0" algn="l"/>
          <a:r>
            <a:rPr lang="en-US" sz="1600" b="0" i="0">
              <a:solidFill>
                <a:schemeClr val="tx1"/>
              </a:solidFill>
              <a:effectLst/>
              <a:latin typeface="+mn-lt"/>
              <a:ea typeface="+mn-ea"/>
              <a:cs typeface="+mn-cs"/>
            </a:rPr>
            <a:t>1.</a:t>
          </a:r>
          <a:r>
            <a:rPr lang="en-US" sz="1600" b="0" i="0" baseline="0">
              <a:solidFill>
                <a:schemeClr val="tx1"/>
              </a:solidFill>
              <a:effectLst/>
              <a:latin typeface="+mn-lt"/>
              <a:ea typeface="+mn-ea"/>
              <a:cs typeface="+mn-cs"/>
            </a:rPr>
            <a:t> </a:t>
          </a:r>
          <a:r>
            <a:rPr lang="ar-SA" sz="1600" b="0" i="0">
              <a:solidFill>
                <a:schemeClr val="tx1"/>
              </a:solidFill>
              <a:effectLst/>
              <a:latin typeface="+mn-lt"/>
              <a:ea typeface="+mn-ea"/>
              <a:cs typeface="+mn-cs"/>
            </a:rPr>
            <a:t>Increase inventory for Smartphone X to meet high demand.</a:t>
          </a:r>
        </a:p>
        <a:p>
          <a:pPr lvl="0" algn="l"/>
          <a:r>
            <a:rPr lang="en-US" sz="1600" b="0" i="0">
              <a:solidFill>
                <a:schemeClr val="tx1"/>
              </a:solidFill>
              <a:effectLst/>
              <a:latin typeface="+mn-lt"/>
              <a:ea typeface="+mn-ea"/>
              <a:cs typeface="+mn-cs"/>
            </a:rPr>
            <a:t>2. </a:t>
          </a:r>
          <a:r>
            <a:rPr lang="ar-SA" sz="1600" b="0" i="0">
              <a:solidFill>
                <a:schemeClr val="tx1"/>
              </a:solidFill>
              <a:effectLst/>
              <a:latin typeface="+mn-lt"/>
              <a:ea typeface="+mn-ea"/>
              <a:cs typeface="+mn-cs"/>
            </a:rPr>
            <a:t>Launch a targeted marketing campaign in Latakia to improve low performance.</a:t>
          </a:r>
        </a:p>
        <a:p>
          <a:pPr lvl="0" algn="l"/>
          <a:r>
            <a:rPr lang="en-US" sz="1600" b="0" i="0">
              <a:solidFill>
                <a:schemeClr val="tx1"/>
              </a:solidFill>
              <a:effectLst/>
              <a:latin typeface="+mn-lt"/>
              <a:ea typeface="+mn-ea"/>
              <a:cs typeface="+mn-cs"/>
            </a:rPr>
            <a:t>3. </a:t>
          </a:r>
          <a:r>
            <a:rPr lang="ar-SA" sz="1600" b="0" i="0">
              <a:solidFill>
                <a:schemeClr val="tx1"/>
              </a:solidFill>
              <a:effectLst/>
              <a:latin typeface="+mn-lt"/>
              <a:ea typeface="+mn-ea"/>
              <a:cs typeface="+mn-cs"/>
            </a:rPr>
            <a:t>Reward Samer and share his sales strategies with the team.</a:t>
          </a:r>
        </a:p>
        <a:p>
          <a:pPr lvl="0" algn="l"/>
          <a:r>
            <a:rPr lang="en-US" sz="1600" b="0" i="0">
              <a:solidFill>
                <a:schemeClr val="tx1"/>
              </a:solidFill>
              <a:effectLst/>
              <a:latin typeface="+mn-lt"/>
              <a:ea typeface="+mn-ea"/>
              <a:cs typeface="+mn-cs"/>
            </a:rPr>
            <a:t>4. </a:t>
          </a:r>
          <a:r>
            <a:rPr lang="ar-SA" sz="1600" b="0" i="0">
              <a:solidFill>
                <a:schemeClr val="tx1"/>
              </a:solidFill>
              <a:effectLst/>
              <a:latin typeface="+mn-lt"/>
              <a:ea typeface="+mn-ea"/>
              <a:cs typeface="+mn-cs"/>
            </a:rPr>
            <a:t>Focus on expanding sales in Aleppo to close the gap with Damascus.</a:t>
          </a:r>
        </a:p>
      </xdr:txBody>
    </xdr:sp>
    <xdr:clientData/>
  </xdr:oneCellAnchor>
  <xdr:twoCellAnchor>
    <xdr:from>
      <xdr:col>9</xdr:col>
      <xdr:colOff>547793</xdr:colOff>
      <xdr:row>13</xdr:row>
      <xdr:rowOff>42333</xdr:rowOff>
    </xdr:from>
    <xdr:to>
      <xdr:col>15</xdr:col>
      <xdr:colOff>386593</xdr:colOff>
      <xdr:row>25</xdr:row>
      <xdr:rowOff>32733</xdr:rowOff>
    </xdr:to>
    <xdr:graphicFrame macro="">
      <xdr:nvGraphicFramePr>
        <xdr:cNvPr id="31" name="Chart 30">
          <a:extLst>
            <a:ext uri="{FF2B5EF4-FFF2-40B4-BE49-F238E27FC236}">
              <a16:creationId xmlns:a16="http://schemas.microsoft.com/office/drawing/2014/main" id="{DBA5A44F-B079-9F02-3161-7679C8C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278130</xdr:colOff>
      <xdr:row>4</xdr:row>
      <xdr:rowOff>87630</xdr:rowOff>
    </xdr:from>
    <xdr:to>
      <xdr:col>11</xdr:col>
      <xdr:colOff>156210</xdr:colOff>
      <xdr:row>20</xdr:row>
      <xdr:rowOff>26670</xdr:rowOff>
    </xdr:to>
    <xdr:graphicFrame macro="">
      <xdr:nvGraphicFramePr>
        <xdr:cNvPr id="4" name="Chart 3">
          <a:extLst>
            <a:ext uri="{FF2B5EF4-FFF2-40B4-BE49-F238E27FC236}">
              <a16:creationId xmlns:a16="http://schemas.microsoft.com/office/drawing/2014/main" id="{73B8DFEB-9A6E-EFF3-016B-AB20DDA60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289560</xdr:colOff>
      <xdr:row>4</xdr:row>
      <xdr:rowOff>106680</xdr:rowOff>
    </xdr:from>
    <xdr:to>
      <xdr:col>14</xdr:col>
      <xdr:colOff>106680</xdr:colOff>
      <xdr:row>18</xdr:row>
      <xdr:rowOff>120015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4CC104E-BF69-AD60-6768-8747012FE9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86800" y="80772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537210</xdr:colOff>
      <xdr:row>5</xdr:row>
      <xdr:rowOff>167640</xdr:rowOff>
    </xdr:from>
    <xdr:to>
      <xdr:col>11</xdr:col>
      <xdr:colOff>415290</xdr:colOff>
      <xdr:row>21</xdr:row>
      <xdr:rowOff>106680</xdr:rowOff>
    </xdr:to>
    <xdr:graphicFrame macro="">
      <xdr:nvGraphicFramePr>
        <xdr:cNvPr id="2" name="Chart 1">
          <a:extLst>
            <a:ext uri="{FF2B5EF4-FFF2-40B4-BE49-F238E27FC236}">
              <a16:creationId xmlns:a16="http://schemas.microsoft.com/office/drawing/2014/main" id="{774AB0B8-46AC-6FE1-DF2A-FA58E81C1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609600</xdr:colOff>
      <xdr:row>6</xdr:row>
      <xdr:rowOff>30480</xdr:rowOff>
    </xdr:from>
    <xdr:to>
      <xdr:col>14</xdr:col>
      <xdr:colOff>426720</xdr:colOff>
      <xdr:row>20</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572CEDE7-7005-4CC0-1349-F81DDBE59D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06840" y="108204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72390</xdr:colOff>
      <xdr:row>3</xdr:row>
      <xdr:rowOff>163830</xdr:rowOff>
    </xdr:from>
    <xdr:to>
      <xdr:col>12</xdr:col>
      <xdr:colOff>266700</xdr:colOff>
      <xdr:row>19</xdr:row>
      <xdr:rowOff>102870</xdr:rowOff>
    </xdr:to>
    <xdr:graphicFrame macro="">
      <xdr:nvGraphicFramePr>
        <xdr:cNvPr id="6" name="Chart 5">
          <a:extLst>
            <a:ext uri="{FF2B5EF4-FFF2-40B4-BE49-F238E27FC236}">
              <a16:creationId xmlns:a16="http://schemas.microsoft.com/office/drawing/2014/main" id="{D69F76F9-8D76-89B8-094B-352B5F2FF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411480</xdr:colOff>
      <xdr:row>5</xdr:row>
      <xdr:rowOff>68580</xdr:rowOff>
    </xdr:from>
    <xdr:to>
      <xdr:col>15</xdr:col>
      <xdr:colOff>228600</xdr:colOff>
      <xdr:row>19</xdr:row>
      <xdr:rowOff>81915</xdr:rowOff>
    </xdr:to>
    <mc:AlternateContent xmlns:mc="http://schemas.openxmlformats.org/markup-compatibility/2006">
      <mc:Choice xmlns:a14="http://schemas.microsoft.com/office/drawing/2010/main" Requires="a14">
        <xdr:graphicFrame macro="">
          <xdr:nvGraphicFramePr>
            <xdr:cNvPr id="7" name="Sales_Rep">
              <a:extLst>
                <a:ext uri="{FF2B5EF4-FFF2-40B4-BE49-F238E27FC236}">
                  <a16:creationId xmlns:a16="http://schemas.microsoft.com/office/drawing/2014/main" id="{13A59688-E501-88D6-82D8-6B8ED75577E8}"/>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9479280" y="94488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xdr:colOff>
      <xdr:row>2</xdr:row>
      <xdr:rowOff>95250</xdr:rowOff>
    </xdr:from>
    <xdr:to>
      <xdr:col>9</xdr:col>
      <xdr:colOff>68580</xdr:colOff>
      <xdr:row>15</xdr:row>
      <xdr:rowOff>144780</xdr:rowOff>
    </xdr:to>
    <xdr:graphicFrame macro="">
      <xdr:nvGraphicFramePr>
        <xdr:cNvPr id="2" name="Chart 1">
          <a:extLst>
            <a:ext uri="{FF2B5EF4-FFF2-40B4-BE49-F238E27FC236}">
              <a16:creationId xmlns:a16="http://schemas.microsoft.com/office/drawing/2014/main" id="{BA35940F-025E-504D-92C5-D71CA544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xdr:colOff>
      <xdr:row>4</xdr:row>
      <xdr:rowOff>0</xdr:rowOff>
    </xdr:from>
    <xdr:to>
      <xdr:col>12</xdr:col>
      <xdr:colOff>495300</xdr:colOff>
      <xdr:row>18</xdr:row>
      <xdr:rowOff>13335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7E11E08F-DC2E-DD04-D9DB-C507D7DC7F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734300" y="70104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3</xdr:row>
      <xdr:rowOff>72390</xdr:rowOff>
    </xdr:from>
    <xdr:to>
      <xdr:col>10</xdr:col>
      <xdr:colOff>125730</xdr:colOff>
      <xdr:row>19</xdr:row>
      <xdr:rowOff>11430</xdr:rowOff>
    </xdr:to>
    <xdr:graphicFrame macro="">
      <xdr:nvGraphicFramePr>
        <xdr:cNvPr id="2" name="Chart 1">
          <a:extLst>
            <a:ext uri="{FF2B5EF4-FFF2-40B4-BE49-F238E27FC236}">
              <a16:creationId xmlns:a16="http://schemas.microsoft.com/office/drawing/2014/main" id="{864BA3FA-ADFA-DF6C-D4A4-CCFC0CE51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323850</xdr:colOff>
      <xdr:row>3</xdr:row>
      <xdr:rowOff>102870</xdr:rowOff>
    </xdr:from>
    <xdr:to>
      <xdr:col>11</xdr:col>
      <xdr:colOff>594360</xdr:colOff>
      <xdr:row>19</xdr:row>
      <xdr:rowOff>41910</xdr:rowOff>
    </xdr:to>
    <xdr:graphicFrame macro="">
      <xdr:nvGraphicFramePr>
        <xdr:cNvPr id="2" name="Chart 1">
          <a:extLst>
            <a:ext uri="{FF2B5EF4-FFF2-40B4-BE49-F238E27FC236}">
              <a16:creationId xmlns:a16="http://schemas.microsoft.com/office/drawing/2014/main" id="{32341002-1B22-9D00-A9C6-AE3D1B606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2.520085069445" createdVersion="8" refreshedVersion="8" minRefreshableVersion="3" recordCount="30" xr:uid="{E4F6EF81-31A1-4039-9DD7-18FA1F7E0ED4}">
  <cacheSource type="worksheet">
    <worksheetSource name="SalesTable"/>
  </cacheSource>
  <cacheFields count="12">
    <cacheField name="Order_ID" numFmtId="0">
      <sharedItems containsSemiMixedTypes="0" containsString="0" containsNumber="1" containsInteger="1" minValue="1001" maxValue="1030"/>
    </cacheField>
    <cacheField name="Order_Date" numFmtId="14">
      <sharedItems containsSemiMixedTypes="0" containsNonDate="0" containsDate="1" containsString="0" minDate="2024-01-05T00:00:00" maxDate="2024-03-26T00:00:00"/>
    </cacheField>
    <cacheField name="Customer_Name" numFmtId="0">
      <sharedItems count="6">
        <s v="Ahmed Ali"/>
        <s v="Al-Nour Company"/>
        <s v="Mohammed Hassan"/>
        <s v="Al-Amal Foundation"/>
        <s v="Sarah Khaled"/>
        <s v="Omar Youssef"/>
      </sharedItems>
    </cacheField>
    <cacheField name="Product" numFmtId="0">
      <sharedItems count="5">
        <s v="Laptop Pro"/>
        <s v="Smartphone X"/>
        <s v="Headphones Z"/>
        <s v="Monitor 4K"/>
        <s v="Laptop Air"/>
      </sharedItems>
    </cacheField>
    <cacheField name="Category" numFmtId="0">
      <sharedItems count="4">
        <s v="Laptops"/>
        <s v="Phones"/>
        <s v="Accessories"/>
        <s v="Monitors"/>
      </sharedItems>
    </cacheField>
    <cacheField name="Region" numFmtId="0">
      <sharedItems count="4">
        <s v="Damascus"/>
        <s v="Aleppo"/>
        <s v="Homs"/>
        <s v="Latakia"/>
      </sharedItems>
    </cacheField>
    <cacheField name="Quantity" numFmtId="1">
      <sharedItems containsSemiMixedTypes="0" containsString="0" containsNumber="1" containsInteger="1" minValue="1" maxValue="30"/>
    </cacheField>
    <cacheField name="Unit_Price" numFmtId="164">
      <sharedItems containsSemiMixedTypes="0" containsString="0" containsNumber="1" containsInteger="1" minValue="150" maxValue="1200"/>
    </cacheField>
    <cacheField name="Sales_Rep" numFmtId="0">
      <sharedItems count="3">
        <s v="Samer"/>
        <s v="Lina"/>
        <s v="Rami"/>
      </sharedItems>
    </cacheField>
    <cacheField name="Total_Sales" numFmtId="164">
      <sharedItems containsSemiMixedTypes="0" containsString="0" containsNumber="1" containsInteger="1" minValue="1000" maxValue="12000"/>
    </cacheField>
    <cacheField name="Month" numFmtId="0">
      <sharedItems count="3">
        <s v="January"/>
        <s v="February"/>
        <s v="March"/>
      </sharedItems>
    </cacheField>
    <cacheField name="Month_Number"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120627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d v="2024-01-05T00:00:00"/>
    <x v="0"/>
    <x v="0"/>
    <x v="0"/>
    <x v="0"/>
    <n v="2"/>
    <n v="1200"/>
    <x v="0"/>
    <n v="2400"/>
    <x v="0"/>
    <n v="1"/>
  </r>
  <r>
    <n v="1002"/>
    <d v="2024-01-07T00:00:00"/>
    <x v="1"/>
    <x v="1"/>
    <x v="1"/>
    <x v="1"/>
    <n v="5"/>
    <n v="800"/>
    <x v="1"/>
    <n v="4000"/>
    <x v="0"/>
    <n v="1"/>
  </r>
  <r>
    <n v="1003"/>
    <d v="2024-01-10T00:00:00"/>
    <x v="2"/>
    <x v="2"/>
    <x v="2"/>
    <x v="2"/>
    <n v="10"/>
    <n v="150"/>
    <x v="0"/>
    <n v="1500"/>
    <x v="0"/>
    <n v="1"/>
  </r>
  <r>
    <n v="1004"/>
    <d v="2024-01-12T00:00:00"/>
    <x v="3"/>
    <x v="3"/>
    <x v="3"/>
    <x v="0"/>
    <n v="3"/>
    <n v="500"/>
    <x v="2"/>
    <n v="1500"/>
    <x v="0"/>
    <n v="1"/>
  </r>
  <r>
    <n v="1005"/>
    <d v="2024-01-15T00:00:00"/>
    <x v="4"/>
    <x v="4"/>
    <x v="0"/>
    <x v="3"/>
    <n v="1"/>
    <n v="1000"/>
    <x v="1"/>
    <n v="1000"/>
    <x v="0"/>
    <n v="1"/>
  </r>
  <r>
    <n v="1006"/>
    <d v="2024-01-18T00:00:00"/>
    <x v="1"/>
    <x v="1"/>
    <x v="1"/>
    <x v="1"/>
    <n v="8"/>
    <n v="800"/>
    <x v="2"/>
    <n v="6400"/>
    <x v="0"/>
    <n v="1"/>
  </r>
  <r>
    <n v="1007"/>
    <d v="2024-01-20T00:00:00"/>
    <x v="5"/>
    <x v="2"/>
    <x v="2"/>
    <x v="0"/>
    <n v="15"/>
    <n v="150"/>
    <x v="0"/>
    <n v="2250"/>
    <x v="0"/>
    <n v="1"/>
  </r>
  <r>
    <n v="1008"/>
    <d v="2024-01-22T00:00:00"/>
    <x v="0"/>
    <x v="3"/>
    <x v="3"/>
    <x v="0"/>
    <n v="2"/>
    <n v="500"/>
    <x v="1"/>
    <n v="1000"/>
    <x v="0"/>
    <n v="1"/>
  </r>
  <r>
    <n v="1009"/>
    <d v="2024-01-25T00:00:00"/>
    <x v="3"/>
    <x v="0"/>
    <x v="0"/>
    <x v="2"/>
    <n v="4"/>
    <n v="1200"/>
    <x v="2"/>
    <n v="4800"/>
    <x v="0"/>
    <n v="1"/>
  </r>
  <r>
    <n v="1010"/>
    <d v="2024-01-28T00:00:00"/>
    <x v="2"/>
    <x v="1"/>
    <x v="1"/>
    <x v="3"/>
    <n v="3"/>
    <n v="800"/>
    <x v="0"/>
    <n v="2400"/>
    <x v="0"/>
    <n v="1"/>
  </r>
  <r>
    <n v="1011"/>
    <d v="2024-02-02T00:00:00"/>
    <x v="1"/>
    <x v="4"/>
    <x v="0"/>
    <x v="1"/>
    <n v="6"/>
    <n v="1000"/>
    <x v="1"/>
    <n v="6000"/>
    <x v="1"/>
    <n v="2"/>
  </r>
  <r>
    <n v="1012"/>
    <d v="2024-02-05T00:00:00"/>
    <x v="4"/>
    <x v="2"/>
    <x v="2"/>
    <x v="0"/>
    <n v="20"/>
    <n v="150"/>
    <x v="2"/>
    <n v="3000"/>
    <x v="1"/>
    <n v="2"/>
  </r>
  <r>
    <n v="1013"/>
    <d v="2024-02-08T00:00:00"/>
    <x v="5"/>
    <x v="3"/>
    <x v="3"/>
    <x v="2"/>
    <n v="5"/>
    <n v="500"/>
    <x v="0"/>
    <n v="2500"/>
    <x v="1"/>
    <n v="2"/>
  </r>
  <r>
    <n v="1014"/>
    <d v="2024-02-10T00:00:00"/>
    <x v="0"/>
    <x v="1"/>
    <x v="1"/>
    <x v="0"/>
    <n v="4"/>
    <n v="800"/>
    <x v="1"/>
    <n v="3200"/>
    <x v="1"/>
    <n v="2"/>
  </r>
  <r>
    <n v="1015"/>
    <d v="2024-02-12T00:00:00"/>
    <x v="3"/>
    <x v="0"/>
    <x v="0"/>
    <x v="3"/>
    <n v="2"/>
    <n v="1200"/>
    <x v="2"/>
    <n v="2400"/>
    <x v="1"/>
    <n v="2"/>
  </r>
  <r>
    <n v="1016"/>
    <d v="2024-02-15T00:00:00"/>
    <x v="1"/>
    <x v="3"/>
    <x v="3"/>
    <x v="1"/>
    <n v="7"/>
    <n v="500"/>
    <x v="0"/>
    <n v="3500"/>
    <x v="1"/>
    <n v="2"/>
  </r>
  <r>
    <n v="1017"/>
    <d v="2024-02-18T00:00:00"/>
    <x v="2"/>
    <x v="4"/>
    <x v="0"/>
    <x v="0"/>
    <n v="3"/>
    <n v="1000"/>
    <x v="1"/>
    <n v="3000"/>
    <x v="1"/>
    <n v="2"/>
  </r>
  <r>
    <n v="1018"/>
    <d v="2024-02-20T00:00:00"/>
    <x v="4"/>
    <x v="1"/>
    <x v="1"/>
    <x v="2"/>
    <n v="6"/>
    <n v="800"/>
    <x v="2"/>
    <n v="4800"/>
    <x v="1"/>
    <n v="2"/>
  </r>
  <r>
    <n v="1019"/>
    <d v="2024-02-22T00:00:00"/>
    <x v="5"/>
    <x v="2"/>
    <x v="2"/>
    <x v="1"/>
    <n v="25"/>
    <n v="150"/>
    <x v="0"/>
    <n v="3750"/>
    <x v="1"/>
    <n v="2"/>
  </r>
  <r>
    <n v="1020"/>
    <d v="2024-02-25T00:00:00"/>
    <x v="0"/>
    <x v="0"/>
    <x v="0"/>
    <x v="0"/>
    <n v="1"/>
    <n v="1200"/>
    <x v="1"/>
    <n v="1200"/>
    <x v="1"/>
    <n v="2"/>
  </r>
  <r>
    <n v="1021"/>
    <d v="2024-03-01T00:00:00"/>
    <x v="3"/>
    <x v="1"/>
    <x v="1"/>
    <x v="3"/>
    <n v="10"/>
    <n v="800"/>
    <x v="2"/>
    <n v="8000"/>
    <x v="2"/>
    <n v="3"/>
  </r>
  <r>
    <n v="1022"/>
    <d v="2024-03-04T00:00:00"/>
    <x v="1"/>
    <x v="2"/>
    <x v="2"/>
    <x v="1"/>
    <n v="30"/>
    <n v="150"/>
    <x v="0"/>
    <n v="4500"/>
    <x v="2"/>
    <n v="3"/>
  </r>
  <r>
    <n v="1023"/>
    <d v="2024-03-07T00:00:00"/>
    <x v="2"/>
    <x v="3"/>
    <x v="3"/>
    <x v="0"/>
    <n v="4"/>
    <n v="500"/>
    <x v="1"/>
    <n v="2000"/>
    <x v="2"/>
    <n v="3"/>
  </r>
  <r>
    <n v="1024"/>
    <d v="2024-03-10T00:00:00"/>
    <x v="4"/>
    <x v="0"/>
    <x v="0"/>
    <x v="2"/>
    <n v="2"/>
    <n v="1200"/>
    <x v="2"/>
    <n v="2400"/>
    <x v="2"/>
    <n v="3"/>
  </r>
  <r>
    <n v="1025"/>
    <d v="2024-03-12T00:00:00"/>
    <x v="5"/>
    <x v="4"/>
    <x v="0"/>
    <x v="0"/>
    <n v="5"/>
    <n v="1000"/>
    <x v="0"/>
    <n v="5000"/>
    <x v="2"/>
    <n v="3"/>
  </r>
  <r>
    <n v="1026"/>
    <d v="2024-03-15T00:00:00"/>
    <x v="0"/>
    <x v="2"/>
    <x v="2"/>
    <x v="3"/>
    <n v="12"/>
    <n v="150"/>
    <x v="1"/>
    <n v="1800"/>
    <x v="2"/>
    <n v="3"/>
  </r>
  <r>
    <n v="1027"/>
    <d v="2024-03-18T00:00:00"/>
    <x v="3"/>
    <x v="3"/>
    <x v="3"/>
    <x v="1"/>
    <n v="6"/>
    <n v="500"/>
    <x v="2"/>
    <n v="3000"/>
    <x v="2"/>
    <n v="3"/>
  </r>
  <r>
    <n v="1028"/>
    <d v="2024-03-20T00:00:00"/>
    <x v="1"/>
    <x v="1"/>
    <x v="1"/>
    <x v="0"/>
    <n v="15"/>
    <n v="800"/>
    <x v="0"/>
    <n v="12000"/>
    <x v="2"/>
    <n v="3"/>
  </r>
  <r>
    <n v="1029"/>
    <d v="2024-03-22T00:00:00"/>
    <x v="2"/>
    <x v="0"/>
    <x v="0"/>
    <x v="2"/>
    <n v="3"/>
    <n v="1200"/>
    <x v="1"/>
    <n v="3600"/>
    <x v="2"/>
    <n v="3"/>
  </r>
  <r>
    <n v="1030"/>
    <d v="2024-03-25T00:00:00"/>
    <x v="4"/>
    <x v="2"/>
    <x v="2"/>
    <x v="0"/>
    <n v="18"/>
    <n v="150"/>
    <x v="2"/>
    <n v="2700"/>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8EE6F-D32C-4078-A395-CCBB26D00BD2}" name="Sales by Region"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pivotField numFmtId="14" showAll="0"/>
    <pivotField showAll="0"/>
    <pivotField showAll="0"/>
    <pivotField showAll="0">
      <items count="5">
        <item x="2"/>
        <item x="0"/>
        <item x="3"/>
        <item x="1"/>
        <item t="default"/>
      </items>
    </pivotField>
    <pivotField axis="axisRow" showAll="0">
      <items count="5">
        <item x="1"/>
        <item x="0"/>
        <item x="2"/>
        <item x="3"/>
        <item t="default"/>
      </items>
    </pivotField>
    <pivotField numFmtId="1" showAll="0"/>
    <pivotField numFmtId="164" showAll="0"/>
    <pivotField showAll="0">
      <items count="4">
        <item x="1"/>
        <item x="2"/>
        <item x="0"/>
        <item t="default"/>
      </items>
    </pivotField>
    <pivotField dataField="1" numFmtId="164" showAll="0"/>
    <pivotField showAll="0">
      <items count="4">
        <item x="0"/>
        <item x="1"/>
        <item x="2"/>
        <item t="default"/>
      </items>
    </pivotField>
    <pivotField showAll="0"/>
  </pivotFields>
  <rowFields count="1">
    <field x="5"/>
  </rowFields>
  <rowItems count="5">
    <i>
      <x/>
    </i>
    <i>
      <x v="1"/>
    </i>
    <i>
      <x v="2"/>
    </i>
    <i>
      <x v="3"/>
    </i>
    <i t="grand">
      <x/>
    </i>
  </rowItems>
  <colItems count="1">
    <i/>
  </colItems>
  <dataFields count="1">
    <dataField name="Sum of Total_Sales" fld="9"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0BAA3-965A-4D64-9333-A6A9697B9856}" name="Sales by Category"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2">
    <pivotField showAll="0"/>
    <pivotField numFmtId="14" showAll="0"/>
    <pivotField showAll="0"/>
    <pivotField showAll="0"/>
    <pivotField axis="axisRow" showAll="0">
      <items count="5">
        <item x="2"/>
        <item x="0"/>
        <item x="3"/>
        <item x="1"/>
        <item t="default"/>
      </items>
    </pivotField>
    <pivotField showAll="0">
      <items count="5">
        <item x="1"/>
        <item x="0"/>
        <item x="2"/>
        <item x="3"/>
        <item t="default"/>
      </items>
    </pivotField>
    <pivotField numFmtId="1" showAll="0"/>
    <pivotField numFmtId="164" showAll="0"/>
    <pivotField showAll="0">
      <items count="4">
        <item x="1"/>
        <item x="2"/>
        <item x="0"/>
        <item t="default"/>
      </items>
    </pivotField>
    <pivotField dataField="1" numFmtId="164" showAll="0"/>
    <pivotField showAll="0">
      <items count="4">
        <item x="0"/>
        <item x="1"/>
        <item x="2"/>
        <item t="default"/>
      </items>
    </pivotField>
    <pivotField showAll="0"/>
  </pivotFields>
  <rowFields count="1">
    <field x="4"/>
  </rowFields>
  <rowItems count="5">
    <i>
      <x/>
    </i>
    <i>
      <x v="1"/>
    </i>
    <i>
      <x v="2"/>
    </i>
    <i>
      <x v="3"/>
    </i>
    <i t="grand">
      <x/>
    </i>
  </rowItems>
  <colItems count="1">
    <i/>
  </colItems>
  <dataFields count="1">
    <dataField name="Sum of Total_Sales" fld="9" baseField="0" baseItem="0" numFmtId="164"/>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D05F4-2241-4C77-B92B-95E0A7E6FE3F}" name="Sales_by_Sales_Rep"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2">
    <pivotField showAll="0"/>
    <pivotField numFmtId="14" showAll="0"/>
    <pivotField showAll="0"/>
    <pivotField showAll="0"/>
    <pivotField showAll="0">
      <items count="5">
        <item x="2"/>
        <item x="0"/>
        <item x="3"/>
        <item x="1"/>
        <item t="default"/>
      </items>
    </pivotField>
    <pivotField showAll="0">
      <items count="5">
        <item x="1"/>
        <item x="0"/>
        <item x="2"/>
        <item x="3"/>
        <item t="default"/>
      </items>
    </pivotField>
    <pivotField numFmtId="1" showAll="0"/>
    <pivotField numFmtId="164" showAll="0"/>
    <pivotField axis="axisRow" showAll="0">
      <items count="4">
        <item x="1"/>
        <item x="2"/>
        <item x="0"/>
        <item t="default"/>
      </items>
    </pivotField>
    <pivotField dataField="1" numFmtId="164" showAll="0"/>
    <pivotField showAll="0">
      <items count="4">
        <item x="0"/>
        <item x="1"/>
        <item x="2"/>
        <item t="default"/>
      </items>
    </pivotField>
    <pivotField showAll="0"/>
  </pivotFields>
  <rowFields count="1">
    <field x="8"/>
  </rowFields>
  <rowItems count="4">
    <i>
      <x/>
    </i>
    <i>
      <x v="1"/>
    </i>
    <i>
      <x v="2"/>
    </i>
    <i t="grand">
      <x/>
    </i>
  </rowItems>
  <colItems count="1">
    <i/>
  </colItems>
  <dataFields count="1">
    <dataField name="Sum of Total_Sales" fld="9"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BEDC6-227E-4B2E-B99A-E733A3646D9A}" name="Monthly Trend"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numFmtId="14" showAll="0"/>
    <pivotField showAll="0"/>
    <pivotField showAll="0"/>
    <pivotField showAll="0">
      <items count="5">
        <item x="2"/>
        <item x="0"/>
        <item x="3"/>
        <item x="1"/>
        <item t="default"/>
      </items>
    </pivotField>
    <pivotField showAll="0">
      <items count="5">
        <item x="1"/>
        <item x="0"/>
        <item x="2"/>
        <item x="3"/>
        <item t="default"/>
      </items>
    </pivotField>
    <pivotField numFmtId="1" showAll="0"/>
    <pivotField numFmtId="164" showAll="0"/>
    <pivotField showAll="0">
      <items count="4">
        <item x="1"/>
        <item x="2"/>
        <item x="0"/>
        <item t="default"/>
      </items>
    </pivotField>
    <pivotField dataField="1" numFmtId="164"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4">
    <i>
      <x v="2"/>
    </i>
    <i>
      <x v="1"/>
    </i>
    <i>
      <x/>
    </i>
    <i t="grand">
      <x/>
    </i>
  </rowItems>
  <colItems count="1">
    <i/>
  </colItems>
  <dataFields count="1">
    <dataField name="Sum of Total_Sales"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DF373-14F5-4F53-8AC6-A333CB0C5B54}" name="Top 5"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showAll="0"/>
    <pivotField numFmtId="14" showAll="0"/>
    <pivotField axis="axisRow" showAll="0" measureFilter="1" sortType="descending">
      <items count="7">
        <item x="0"/>
        <item x="3"/>
        <item x="1"/>
        <item x="2"/>
        <item x="5"/>
        <item x="4"/>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1"/>
        <item x="0"/>
        <item x="2"/>
        <item x="3"/>
        <item t="default"/>
      </items>
    </pivotField>
    <pivotField numFmtId="1" showAll="0"/>
    <pivotField numFmtId="164" showAll="0"/>
    <pivotField showAll="0">
      <items count="4">
        <item x="1"/>
        <item x="2"/>
        <item x="0"/>
        <item t="default"/>
      </items>
    </pivotField>
    <pivotField dataField="1" numFmtId="164" showAll="0"/>
    <pivotField showAll="0">
      <items count="4">
        <item x="0"/>
        <item x="1"/>
        <item x="2"/>
        <item t="default"/>
      </items>
    </pivotField>
    <pivotField showAll="0"/>
  </pivotFields>
  <rowFields count="1">
    <field x="2"/>
  </rowFields>
  <rowItems count="6">
    <i>
      <x v="2"/>
    </i>
    <i>
      <x v="1"/>
    </i>
    <i>
      <x v="5"/>
    </i>
    <i>
      <x v="4"/>
    </i>
    <i>
      <x v="3"/>
    </i>
    <i t="grand">
      <x/>
    </i>
  </rowItems>
  <colItems count="1">
    <i/>
  </colItems>
  <dataFields count="1">
    <dataField name="Sum of Total_Sales" fld="9" baseField="0" baseItem="0" numFmtId="164"/>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5"/>
          </reference>
        </references>
      </pivotArea>
    </chartFormat>
    <chartFormat chart="3" format="11">
      <pivotArea type="data" outline="0" fieldPosition="0">
        <references count="2">
          <reference field="4294967294" count="1" selected="0">
            <x v="0"/>
          </reference>
          <reference field="2" count="1" selected="0">
            <x v="4"/>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DE022-453E-48DA-89DB-C3C85FED3C38}" name="Product"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numFmtId="14" showAll="0"/>
    <pivotField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items count="5">
        <item x="1"/>
        <item x="0"/>
        <item x="2"/>
        <item x="3"/>
        <item t="default"/>
      </items>
    </pivotField>
    <pivotField numFmtId="1" showAll="0"/>
    <pivotField numFmtId="164" showAll="0"/>
    <pivotField showAll="0">
      <items count="4">
        <item x="1"/>
        <item x="2"/>
        <item x="0"/>
        <item t="default"/>
      </items>
    </pivotField>
    <pivotField dataField="1" numFmtId="164" showAll="0"/>
    <pivotField showAll="0">
      <items count="4">
        <item x="0"/>
        <item x="1"/>
        <item x="2"/>
        <item t="default"/>
      </items>
    </pivotField>
    <pivotField showAll="0"/>
  </pivotFields>
  <rowFields count="1">
    <field x="3"/>
  </rowFields>
  <rowItems count="6">
    <i>
      <x v="4"/>
    </i>
    <i>
      <x/>
    </i>
    <i>
      <x v="2"/>
    </i>
    <i>
      <x v="1"/>
    </i>
    <i>
      <x v="3"/>
    </i>
    <i t="grand">
      <x/>
    </i>
  </rowItems>
  <colItems count="1">
    <i/>
  </colItems>
  <dataFields count="1">
    <dataField name="Sum of Total_Sales" fld="9" baseField="0" baseItem="0" numFmtId="164"/>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9B56FD-D785-47B9-B6E8-B47767EE2B93}" sourceName="Region">
  <pivotTables>
    <pivotTable tabId="12" name="Sales by Region"/>
    <pivotTable tabId="13" name="Sales by Category"/>
    <pivotTable tabId="6" name="Monthly Trend"/>
    <pivotTable tabId="8" name="Product"/>
    <pivotTable tabId="5" name="Sales_by_Sales_Rep"/>
    <pivotTable tabId="7" name="Top 5"/>
  </pivotTables>
  <data>
    <tabular pivotCacheId="112062761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8EB3A9-067F-4A68-933A-807D3C59FCEE}" sourceName="Category">
  <pivotTables>
    <pivotTable tabId="13" name="Sales by Category"/>
    <pivotTable tabId="6" name="Monthly Trend"/>
    <pivotTable tabId="8" name="Product"/>
    <pivotTable tabId="12" name="Sales by Region"/>
    <pivotTable tabId="5" name="Sales_by_Sales_Rep"/>
    <pivotTable tabId="7" name="Top 5"/>
  </pivotTables>
  <data>
    <tabular pivotCacheId="112062761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85A0677-9261-41AC-A577-8CA9B0678B2F}" sourceName="Sales_Rep">
  <pivotTables>
    <pivotTable tabId="5" name="Sales_by_Sales_Rep"/>
    <pivotTable tabId="6" name="Monthly Trend"/>
    <pivotTable tabId="8" name="Product"/>
    <pivotTable tabId="13" name="Sales by Category"/>
    <pivotTable tabId="12" name="Sales by Region"/>
    <pivotTable tabId="7" name="Top 5"/>
  </pivotTables>
  <data>
    <tabular pivotCacheId="112062761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F63343-0582-4661-A768-764763C8BFAD}" sourceName="Month">
  <pivotTables>
    <pivotTable tabId="6" name="Monthly Trend"/>
    <pivotTable tabId="8" name="Product"/>
    <pivotTable tabId="13" name="Sales by Category"/>
    <pivotTable tabId="12" name="Sales by Region"/>
    <pivotTable tabId="5" name="Sales_by_Sales_Rep"/>
    <pivotTable tabId="7" name="Top 5"/>
  </pivotTables>
  <data>
    <tabular pivotCacheId="11206276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1F33F8A-C4CF-4934-98FB-931B86F79085}" cache="Slicer_Region" caption="Region" columnCount="2" rowHeight="234950"/>
  <slicer name="Category 1" xr10:uid="{1B097376-6719-4009-B214-B10B7382C029}" cache="Slicer_Category" caption="Category" columnCount="2" rowHeight="234950"/>
  <slicer name="Sales_Rep 1" xr10:uid="{FE7116D3-6837-4B2A-833D-76E4942CDE39}" cache="Slicer_Sales_Rep" caption="Sales_Rep" columnCount="3" rowHeight="234950"/>
  <slicer name="Month 1" xr10:uid="{4ACFE225-EEFB-4522-849D-07885BFDE669}" cache="Slicer_Month" caption="Month"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6ACF965-EC5F-486B-9FA6-2A8D40FEB5AC}"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67D4EF-B3B7-4241-913B-F78A94732D5F}"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B59514D0-6967-4CBD-AE0C-D0576C5A9472}" cache="Slicer_Sales_Rep" caption="Sales_Rep"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28F6687-5641-425B-B09C-9E6DDF36274D}"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6209B1-186D-4F0E-B383-9149E148E685}" name="SalesTable" displayName="SalesTable" ref="A1:L32" totalsRowCount="1" headerRowDxfId="29" dataDxfId="27" headerRowBorderDxfId="28" tableBorderDxfId="26" totalsRowBorderDxfId="25" dataCellStyle="Normal">
  <autoFilter ref="A1:L31" xr:uid="{306209B1-186D-4F0E-B383-9149E148E685}"/>
  <tableColumns count="12">
    <tableColumn id="1" xr3:uid="{EE3E076E-8201-4D60-BD15-76612F90EC4C}" name="Order_ID" dataDxfId="24" totalsRowDxfId="11" dataCellStyle="Normal"/>
    <tableColumn id="2" xr3:uid="{02F4087C-6003-4D38-A737-2469868CFE90}" name="Order_Date" dataDxfId="23" totalsRowDxfId="10" dataCellStyle="Normal"/>
    <tableColumn id="3" xr3:uid="{3BDD6ED4-734B-4D06-9B40-A88D1B656B73}" name="Customer_Name" dataDxfId="22" totalsRowDxfId="9" dataCellStyle="Normal">
      <calculatedColumnFormula>TRIM(SalesTable[[#This Row],[Customer_Name]])</calculatedColumnFormula>
    </tableColumn>
    <tableColumn id="4" xr3:uid="{F013ECE6-DE19-4FB8-B42D-B0795C16268B}" name="Product" dataDxfId="21" totalsRowDxfId="8" dataCellStyle="Normal">
      <calculatedColumnFormula>TRIM(SalesTable[[#This Row],[Product]])</calculatedColumnFormula>
    </tableColumn>
    <tableColumn id="5" xr3:uid="{A74529ED-3FC1-40D7-A0E5-6AB2C3A444B2}" name="Category" dataDxfId="20" totalsRowDxfId="7" dataCellStyle="Normal">
      <calculatedColumnFormula>TRIM(SalesTable[[#This Row],[Category]])</calculatedColumnFormula>
    </tableColumn>
    <tableColumn id="6" xr3:uid="{8DDA883F-D000-43CC-A417-0F20B4B5D75B}" name="Region" dataDxfId="19" totalsRowDxfId="6" dataCellStyle="Normal">
      <calculatedColumnFormula>TRIM(SalesTable[[#This Row],[Region]])</calculatedColumnFormula>
    </tableColumn>
    <tableColumn id="7" xr3:uid="{618C8083-2D65-4C6E-BEEB-04469700F417}" name="Quantity" dataDxfId="18" totalsRowDxfId="5" dataCellStyle="Normal"/>
    <tableColumn id="8" xr3:uid="{41FCE153-A0D3-4AC5-A1A4-38E9793D932E}" name="Unit_Price" dataDxfId="17" totalsRowDxfId="4" dataCellStyle="Normal"/>
    <tableColumn id="9" xr3:uid="{912BB05B-4F45-4E7C-AA89-F72C4BEE3FCD}" name="Sales_Rep" dataDxfId="16" totalsRowDxfId="3" dataCellStyle="Normal"/>
    <tableColumn id="10" xr3:uid="{2BC8A5B1-C769-44DB-AAEE-F7B1CAED2318}" name="Total_Sales" totalsRowFunction="custom" dataDxfId="15" totalsRowDxfId="2" dataCellStyle="Normal">
      <calculatedColumnFormula>SalesTable[[#This Row],[Quantity]]*SalesTable[[#This Row],[Unit_Price]]</calculatedColumnFormula>
      <totalsRowFormula>SUM(SalesTable[Total_Sales])</totalsRowFormula>
    </tableColumn>
    <tableColumn id="12" xr3:uid="{53E5278E-B4E9-4F48-BF64-DE0272B3A853}" name="Month" dataDxfId="14" totalsRowDxfId="1" dataCellStyle="Normal">
      <calculatedColumnFormula>CHOOSE(MONTH(SalesTable[[#This Row],[Order_Date]]),"January","February","March","April","May","June","July","August","September","October","November","December")</calculatedColumnFormula>
    </tableColumn>
    <tableColumn id="13" xr3:uid="{391B1086-441D-4376-AC12-FF3A3A722956}" name="Month_Number" dataDxfId="13" totalsRowDxfId="0" dataCellStyle="Normal">
      <calculatedColumnFormula>MONTH(SalesTable[[#This Row],[Order_Date]])</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E510-37E9-493A-9D69-C20AB29F8D8A}">
  <dimension ref="A1:I22"/>
  <sheetViews>
    <sheetView showGridLines="0" showRowColHeaders="0" zoomScale="85" zoomScaleNormal="85" workbookViewId="0">
      <selection activeCell="K1" sqref="K1"/>
    </sheetView>
  </sheetViews>
  <sheetFormatPr defaultRowHeight="13.8" x14ac:dyDescent="0.25"/>
  <cols>
    <col min="1" max="1" width="8.796875" style="18"/>
    <col min="2" max="2" width="15" style="18" bestFit="1" customWidth="1"/>
    <col min="3" max="3" width="14.296875" style="18" bestFit="1" customWidth="1"/>
    <col min="4" max="4" width="8.796875" style="18" customWidth="1"/>
    <col min="5" max="5" width="16.8984375" style="18" bestFit="1" customWidth="1"/>
    <col min="6" max="6" width="4.8984375" style="18" bestFit="1" customWidth="1"/>
    <col min="7" max="7" width="4.296875" style="18" customWidth="1"/>
    <col min="8" max="8" width="21.5" style="18" bestFit="1" customWidth="1"/>
    <col min="9" max="9" width="11.3984375" style="18" bestFit="1" customWidth="1"/>
    <col min="10" max="10" width="8.796875" style="18" customWidth="1"/>
    <col min="11" max="16384" width="8.796875" style="18"/>
  </cols>
  <sheetData>
    <row r="1" spans="2:9" ht="20.399999999999999" x14ac:dyDescent="0.25">
      <c r="B1" s="14" t="s">
        <v>40</v>
      </c>
      <c r="C1" s="15">
        <f>SUM(SalesTable[Total_Sales])</f>
        <v>105600</v>
      </c>
      <c r="D1" s="16"/>
      <c r="E1" s="16" t="s">
        <v>41</v>
      </c>
      <c r="F1" s="17">
        <f>COUNT(SalesTable[Order_ID])</f>
        <v>30</v>
      </c>
      <c r="G1" s="16"/>
      <c r="H1" s="16" t="s">
        <v>42</v>
      </c>
      <c r="I1" s="15">
        <f>AVERAGE(SalesTable[Total_Sales])</f>
        <v>3520</v>
      </c>
    </row>
    <row r="2" spans="2:9" x14ac:dyDescent="0.25">
      <c r="B2" s="19"/>
    </row>
    <row r="19" spans="1:7" x14ac:dyDescent="0.25">
      <c r="A19" s="18" t="s">
        <v>39</v>
      </c>
    </row>
    <row r="22" spans="1:7" x14ac:dyDescent="0.25">
      <c r="G22" s="18" t="s">
        <v>39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2118-29C1-456E-ACE8-37FC7BE04C1D}">
  <dimension ref="A1:L32"/>
  <sheetViews>
    <sheetView tabSelected="1" workbookViewId="0">
      <selection activeCell="F32" sqref="F32"/>
    </sheetView>
  </sheetViews>
  <sheetFormatPr defaultRowHeight="13.8" x14ac:dyDescent="0.25"/>
  <cols>
    <col min="1" max="1" width="12.3984375" bestFit="1" customWidth="1"/>
    <col min="2" max="2" width="14" style="8" bestFit="1" customWidth="1"/>
    <col min="3" max="3" width="18" bestFit="1" customWidth="1"/>
    <col min="4" max="4" width="11.3984375" bestFit="1" customWidth="1"/>
    <col min="5" max="5" width="12" bestFit="1" customWidth="1"/>
    <col min="6" max="6" width="10.3984375" bestFit="1" customWidth="1"/>
    <col min="7" max="7" width="11.796875" bestFit="1" customWidth="1"/>
    <col min="8" max="8" width="13.09765625" bestFit="1" customWidth="1"/>
    <col min="9" max="9" width="12.796875" bestFit="1" customWidth="1"/>
    <col min="10" max="10" width="13.796875" bestFit="1" customWidth="1"/>
    <col min="11" max="11" width="10.19921875" bestFit="1" customWidth="1"/>
    <col min="12" max="12" width="17.5" bestFit="1" customWidth="1"/>
  </cols>
  <sheetData>
    <row r="1" spans="1:12" s="5" customFormat="1" x14ac:dyDescent="0.25">
      <c r="A1" s="2" t="s">
        <v>0</v>
      </c>
      <c r="B1" s="6" t="s">
        <v>1</v>
      </c>
      <c r="C1" s="3" t="s">
        <v>2</v>
      </c>
      <c r="D1" s="3" t="s">
        <v>3</v>
      </c>
      <c r="E1" s="3" t="s">
        <v>4</v>
      </c>
      <c r="F1" s="3" t="s">
        <v>5</v>
      </c>
      <c r="G1" s="3" t="s">
        <v>6</v>
      </c>
      <c r="H1" s="3" t="s">
        <v>7</v>
      </c>
      <c r="I1" s="4" t="s">
        <v>8</v>
      </c>
      <c r="J1" s="3" t="s">
        <v>25</v>
      </c>
      <c r="K1" s="3" t="s">
        <v>26</v>
      </c>
      <c r="L1" s="3" t="s">
        <v>27</v>
      </c>
    </row>
    <row r="2" spans="1:12" x14ac:dyDescent="0.25">
      <c r="A2" s="1">
        <v>1001</v>
      </c>
      <c r="B2" s="7">
        <v>45296</v>
      </c>
      <c r="C2" s="1" t="str">
        <f ca="1">TRIM(SalesTable[[#This Row],[Customer_Name]])</f>
        <v>Ahmed Ali</v>
      </c>
      <c r="D2" s="1" t="str">
        <f ca="1">TRIM(SalesTable[[#This Row],[Product]])</f>
        <v>Laptop Pro</v>
      </c>
      <c r="E2" s="1" t="str">
        <f ca="1">TRIM(SalesTable[[#This Row],[Category]])</f>
        <v>Laptops</v>
      </c>
      <c r="F2" s="1" t="str">
        <f ca="1">TRIM(SalesTable[[#This Row],[Region]])</f>
        <v>Damascus</v>
      </c>
      <c r="G2" s="9">
        <v>2</v>
      </c>
      <c r="H2" s="10">
        <v>1200</v>
      </c>
      <c r="I2" s="1" t="s">
        <v>22</v>
      </c>
      <c r="J2" s="10">
        <f>SalesTable[[#This Row],[Quantity]]*SalesTable[[#This Row],[Unit_Price]]</f>
        <v>2400</v>
      </c>
      <c r="K2" s="1" t="str">
        <f>CHOOSE(MONTH(SalesTable[[#This Row],[Order_Date]]),"January","February","March","April","May","June","July","August","September","October","November","December")</f>
        <v>January</v>
      </c>
      <c r="L2" s="1">
        <f>MONTH(SalesTable[[#This Row],[Order_Date]])</f>
        <v>1</v>
      </c>
    </row>
    <row r="3" spans="1:12" x14ac:dyDescent="0.25">
      <c r="A3" s="1">
        <v>1002</v>
      </c>
      <c r="B3" s="7">
        <v>45298</v>
      </c>
      <c r="C3" s="1" t="str">
        <f ca="1">TRIM(SalesTable[[#This Row],[Customer_Name]])</f>
        <v>Al-Nour Company</v>
      </c>
      <c r="D3" s="1" t="str">
        <f ca="1">TRIM(SalesTable[[#This Row],[Product]])</f>
        <v>Smartphone X</v>
      </c>
      <c r="E3" s="1" t="str">
        <f ca="1">TRIM(SalesTable[[#This Row],[Category]])</f>
        <v>Phones</v>
      </c>
      <c r="F3" s="1" t="str">
        <f ca="1">TRIM(SalesTable[[#This Row],[Region]])</f>
        <v>Aleppo</v>
      </c>
      <c r="G3" s="9">
        <v>5</v>
      </c>
      <c r="H3" s="10">
        <v>800</v>
      </c>
      <c r="I3" s="1" t="s">
        <v>23</v>
      </c>
      <c r="J3" s="10">
        <f>SalesTable[[#This Row],[Quantity]]*SalesTable[[#This Row],[Unit_Price]]</f>
        <v>4000</v>
      </c>
      <c r="K3" s="1" t="str">
        <f>CHOOSE(MONTH(SalesTable[[#This Row],[Order_Date]]),"January","February","March","April","May","June","July","August","September","October","November","December")</f>
        <v>January</v>
      </c>
      <c r="L3" s="1">
        <f>MONTH(SalesTable[[#This Row],[Order_Date]])</f>
        <v>1</v>
      </c>
    </row>
    <row r="4" spans="1:12" x14ac:dyDescent="0.25">
      <c r="A4" s="1">
        <v>1003</v>
      </c>
      <c r="B4" s="7">
        <v>45301</v>
      </c>
      <c r="C4" s="1" t="str">
        <f ca="1">TRIM(SalesTable[[#This Row],[Customer_Name]])</f>
        <v>Mohammed Hassan</v>
      </c>
      <c r="D4" s="1" t="str">
        <f ca="1">TRIM(SalesTable[[#This Row],[Product]])</f>
        <v>Headphones Z</v>
      </c>
      <c r="E4" s="1" t="str">
        <f ca="1">TRIM(SalesTable[[#This Row],[Category]])</f>
        <v>Accessories</v>
      </c>
      <c r="F4" s="1" t="str">
        <f ca="1">TRIM(SalesTable[[#This Row],[Region]])</f>
        <v>Homs</v>
      </c>
      <c r="G4" s="9">
        <v>10</v>
      </c>
      <c r="H4" s="10">
        <v>150</v>
      </c>
      <c r="I4" s="1" t="s">
        <v>22</v>
      </c>
      <c r="J4" s="10">
        <f>SalesTable[[#This Row],[Quantity]]*SalesTable[[#This Row],[Unit_Price]]</f>
        <v>1500</v>
      </c>
      <c r="K4" s="1" t="str">
        <f>CHOOSE(MONTH(SalesTable[[#This Row],[Order_Date]]),"January","February","March","April","May","June","July","August","September","October","November","December")</f>
        <v>January</v>
      </c>
      <c r="L4" s="1">
        <f>MONTH(SalesTable[[#This Row],[Order_Date]])</f>
        <v>1</v>
      </c>
    </row>
    <row r="5" spans="1:12" x14ac:dyDescent="0.25">
      <c r="A5" s="1">
        <v>1004</v>
      </c>
      <c r="B5" s="7">
        <v>45303</v>
      </c>
      <c r="C5" s="1" t="str">
        <f ca="1">TRIM(SalesTable[[#This Row],[Customer_Name]])</f>
        <v>Al-Amal Foundation</v>
      </c>
      <c r="D5" s="1" t="str">
        <f ca="1">TRIM(SalesTable[[#This Row],[Product]])</f>
        <v>Monitor 4K</v>
      </c>
      <c r="E5" s="1" t="str">
        <f ca="1">TRIM(SalesTable[[#This Row],[Category]])</f>
        <v>Monitors</v>
      </c>
      <c r="F5" s="1" t="str">
        <f ca="1">TRIM(SalesTable[[#This Row],[Region]])</f>
        <v>Damascus</v>
      </c>
      <c r="G5" s="9">
        <v>3</v>
      </c>
      <c r="H5" s="10">
        <v>500</v>
      </c>
      <c r="I5" s="1" t="s">
        <v>24</v>
      </c>
      <c r="J5" s="10">
        <f>SalesTable[[#This Row],[Quantity]]*SalesTable[[#This Row],[Unit_Price]]</f>
        <v>1500</v>
      </c>
      <c r="K5" s="1" t="str">
        <f>CHOOSE(MONTH(SalesTable[[#This Row],[Order_Date]]),"January","February","March","April","May","June","July","August","September","October","November","December")</f>
        <v>January</v>
      </c>
      <c r="L5" s="1">
        <f>MONTH(SalesTable[[#This Row],[Order_Date]])</f>
        <v>1</v>
      </c>
    </row>
    <row r="6" spans="1:12" x14ac:dyDescent="0.25">
      <c r="A6" s="1">
        <v>1005</v>
      </c>
      <c r="B6" s="7">
        <v>45306</v>
      </c>
      <c r="C6" s="1" t="str">
        <f ca="1">TRIM(SalesTable[[#This Row],[Customer_Name]])</f>
        <v>Sarah Khaled</v>
      </c>
      <c r="D6" s="1" t="str">
        <f ca="1">TRIM(SalesTable[[#This Row],[Product]])</f>
        <v>Laptop Air</v>
      </c>
      <c r="E6" s="1" t="str">
        <f ca="1">TRIM(SalesTable[[#This Row],[Category]])</f>
        <v>Laptops</v>
      </c>
      <c r="F6" s="1" t="str">
        <f ca="1">TRIM(SalesTable[[#This Row],[Region]])</f>
        <v>Latakia</v>
      </c>
      <c r="G6" s="9">
        <v>1</v>
      </c>
      <c r="H6" s="10">
        <v>1000</v>
      </c>
      <c r="I6" s="1" t="s">
        <v>23</v>
      </c>
      <c r="J6" s="10">
        <f>SalesTable[[#This Row],[Quantity]]*SalesTable[[#This Row],[Unit_Price]]</f>
        <v>1000</v>
      </c>
      <c r="K6" s="1" t="str">
        <f>CHOOSE(MONTH(SalesTable[[#This Row],[Order_Date]]),"January","February","March","April","May","June","July","August","September","October","November","December")</f>
        <v>January</v>
      </c>
      <c r="L6" s="1">
        <f>MONTH(SalesTable[[#This Row],[Order_Date]])</f>
        <v>1</v>
      </c>
    </row>
    <row r="7" spans="1:12" x14ac:dyDescent="0.25">
      <c r="A7" s="1">
        <v>1006</v>
      </c>
      <c r="B7" s="7">
        <v>45309</v>
      </c>
      <c r="C7" s="1" t="str">
        <f ca="1">TRIM(SalesTable[[#This Row],[Customer_Name]])</f>
        <v>Al-Nour Company</v>
      </c>
      <c r="D7" s="1" t="str">
        <f ca="1">TRIM(SalesTable[[#This Row],[Product]])</f>
        <v>Smartphone X</v>
      </c>
      <c r="E7" s="1" t="str">
        <f ca="1">TRIM(SalesTable[[#This Row],[Category]])</f>
        <v>Phones</v>
      </c>
      <c r="F7" s="1" t="str">
        <f ca="1">TRIM(SalesTable[[#This Row],[Region]])</f>
        <v>Aleppo</v>
      </c>
      <c r="G7" s="9">
        <v>8</v>
      </c>
      <c r="H7" s="10">
        <v>800</v>
      </c>
      <c r="I7" s="1" t="s">
        <v>24</v>
      </c>
      <c r="J7" s="10">
        <f>SalesTable[[#This Row],[Quantity]]*SalesTable[[#This Row],[Unit_Price]]</f>
        <v>6400</v>
      </c>
      <c r="K7" s="1" t="str">
        <f>CHOOSE(MONTH(SalesTable[[#This Row],[Order_Date]]),"January","February","March","April","May","June","July","August","September","October","November","December")</f>
        <v>January</v>
      </c>
      <c r="L7" s="1">
        <f>MONTH(SalesTable[[#This Row],[Order_Date]])</f>
        <v>1</v>
      </c>
    </row>
    <row r="8" spans="1:12" x14ac:dyDescent="0.25">
      <c r="A8" s="1">
        <v>1007</v>
      </c>
      <c r="B8" s="7">
        <v>45311</v>
      </c>
      <c r="C8" s="1" t="str">
        <f ca="1">TRIM(SalesTable[[#This Row],[Customer_Name]])</f>
        <v>Omar Youssef</v>
      </c>
      <c r="D8" s="1" t="str">
        <f ca="1">TRIM(SalesTable[[#This Row],[Product]])</f>
        <v>Headphones Z</v>
      </c>
      <c r="E8" s="1" t="str">
        <f ca="1">TRIM(SalesTable[[#This Row],[Category]])</f>
        <v>Accessories</v>
      </c>
      <c r="F8" s="1" t="str">
        <f ca="1">TRIM(SalesTable[[#This Row],[Region]])</f>
        <v>Damascus</v>
      </c>
      <c r="G8" s="9">
        <v>15</v>
      </c>
      <c r="H8" s="10">
        <v>150</v>
      </c>
      <c r="I8" s="1" t="s">
        <v>22</v>
      </c>
      <c r="J8" s="10">
        <f>SalesTable[[#This Row],[Quantity]]*SalesTable[[#This Row],[Unit_Price]]</f>
        <v>2250</v>
      </c>
      <c r="K8" s="1" t="str">
        <f>CHOOSE(MONTH(SalesTable[[#This Row],[Order_Date]]),"January","February","March","April","May","June","July","August","September","October","November","December")</f>
        <v>January</v>
      </c>
      <c r="L8" s="1">
        <f>MONTH(SalesTable[[#This Row],[Order_Date]])</f>
        <v>1</v>
      </c>
    </row>
    <row r="9" spans="1:12" x14ac:dyDescent="0.25">
      <c r="A9" s="1">
        <v>1008</v>
      </c>
      <c r="B9" s="7">
        <v>45313</v>
      </c>
      <c r="C9" s="1" t="str">
        <f ca="1">TRIM(SalesTable[[#This Row],[Customer_Name]])</f>
        <v>Ahmed Ali</v>
      </c>
      <c r="D9" s="1" t="str">
        <f ca="1">TRIM(SalesTable[[#This Row],[Product]])</f>
        <v>Monitor 4K</v>
      </c>
      <c r="E9" s="1" t="str">
        <f ca="1">TRIM(SalesTable[[#This Row],[Category]])</f>
        <v>Monitors</v>
      </c>
      <c r="F9" s="1" t="str">
        <f ca="1">TRIM(SalesTable[[#This Row],[Region]])</f>
        <v>Damascus</v>
      </c>
      <c r="G9" s="9">
        <v>2</v>
      </c>
      <c r="H9" s="10">
        <v>500</v>
      </c>
      <c r="I9" s="1" t="s">
        <v>23</v>
      </c>
      <c r="J9" s="10">
        <f>SalesTable[[#This Row],[Quantity]]*SalesTable[[#This Row],[Unit_Price]]</f>
        <v>1000</v>
      </c>
      <c r="K9" s="1" t="str">
        <f>CHOOSE(MONTH(SalesTable[[#This Row],[Order_Date]]),"January","February","March","April","May","June","July","August","September","October","November","December")</f>
        <v>January</v>
      </c>
      <c r="L9" s="1">
        <f>MONTH(SalesTable[[#This Row],[Order_Date]])</f>
        <v>1</v>
      </c>
    </row>
    <row r="10" spans="1:12" x14ac:dyDescent="0.25">
      <c r="A10" s="1">
        <v>1009</v>
      </c>
      <c r="B10" s="7">
        <v>45316</v>
      </c>
      <c r="C10" s="1" t="str">
        <f ca="1">TRIM(SalesTable[[#This Row],[Customer_Name]])</f>
        <v>Al-Amal Foundation</v>
      </c>
      <c r="D10" s="1" t="str">
        <f ca="1">TRIM(SalesTable[[#This Row],[Product]])</f>
        <v>Laptop Pro</v>
      </c>
      <c r="E10" s="1" t="str">
        <f ca="1">TRIM(SalesTable[[#This Row],[Category]])</f>
        <v>Laptops</v>
      </c>
      <c r="F10" s="1" t="str">
        <f ca="1">TRIM(SalesTable[[#This Row],[Region]])</f>
        <v>Homs</v>
      </c>
      <c r="G10" s="9">
        <v>4</v>
      </c>
      <c r="H10" s="10">
        <v>1200</v>
      </c>
      <c r="I10" s="1" t="s">
        <v>24</v>
      </c>
      <c r="J10" s="10">
        <f>SalesTable[[#This Row],[Quantity]]*SalesTable[[#This Row],[Unit_Price]]</f>
        <v>4800</v>
      </c>
      <c r="K10" s="1" t="str">
        <f>CHOOSE(MONTH(SalesTable[[#This Row],[Order_Date]]),"January","February","March","April","May","June","July","August","September","October","November","December")</f>
        <v>January</v>
      </c>
      <c r="L10" s="1">
        <f>MONTH(SalesTable[[#This Row],[Order_Date]])</f>
        <v>1</v>
      </c>
    </row>
    <row r="11" spans="1:12" x14ac:dyDescent="0.25">
      <c r="A11" s="1">
        <v>1010</v>
      </c>
      <c r="B11" s="7">
        <v>45319</v>
      </c>
      <c r="C11" s="1" t="str">
        <f ca="1">TRIM(SalesTable[[#This Row],[Customer_Name]])</f>
        <v>Mohammed Hassan</v>
      </c>
      <c r="D11" s="1" t="str">
        <f ca="1">TRIM(SalesTable[[#This Row],[Product]])</f>
        <v>Smartphone X</v>
      </c>
      <c r="E11" s="1" t="str">
        <f ca="1">TRIM(SalesTable[[#This Row],[Category]])</f>
        <v>Phones</v>
      </c>
      <c r="F11" s="1" t="str">
        <f ca="1">TRIM(SalesTable[[#This Row],[Region]])</f>
        <v>Latakia</v>
      </c>
      <c r="G11" s="9">
        <v>3</v>
      </c>
      <c r="H11" s="10">
        <v>800</v>
      </c>
      <c r="I11" s="1" t="s">
        <v>22</v>
      </c>
      <c r="J11" s="10">
        <f>SalesTable[[#This Row],[Quantity]]*SalesTable[[#This Row],[Unit_Price]]</f>
        <v>2400</v>
      </c>
      <c r="K11" s="1" t="str">
        <f>CHOOSE(MONTH(SalesTable[[#This Row],[Order_Date]]),"January","February","March","April","May","June","July","August","September","October","November","December")</f>
        <v>January</v>
      </c>
      <c r="L11" s="1">
        <f>MONTH(SalesTable[[#This Row],[Order_Date]])</f>
        <v>1</v>
      </c>
    </row>
    <row r="12" spans="1:12" x14ac:dyDescent="0.25">
      <c r="A12" s="1">
        <v>1011</v>
      </c>
      <c r="B12" s="7">
        <v>45324</v>
      </c>
      <c r="C12" s="1" t="str">
        <f ca="1">TRIM(SalesTable[[#This Row],[Customer_Name]])</f>
        <v>Al-Nour Company</v>
      </c>
      <c r="D12" s="1" t="str">
        <f ca="1">TRIM(SalesTable[[#This Row],[Product]])</f>
        <v>Laptop Air</v>
      </c>
      <c r="E12" s="1" t="str">
        <f ca="1">TRIM(SalesTable[[#This Row],[Category]])</f>
        <v>Laptops</v>
      </c>
      <c r="F12" s="1" t="str">
        <f ca="1">TRIM(SalesTable[[#This Row],[Region]])</f>
        <v>Aleppo</v>
      </c>
      <c r="G12" s="9">
        <v>6</v>
      </c>
      <c r="H12" s="10">
        <v>1000</v>
      </c>
      <c r="I12" s="1" t="s">
        <v>23</v>
      </c>
      <c r="J12" s="10">
        <f>SalesTable[[#This Row],[Quantity]]*SalesTable[[#This Row],[Unit_Price]]</f>
        <v>6000</v>
      </c>
      <c r="K12" s="1" t="str">
        <f>CHOOSE(MONTH(SalesTable[[#This Row],[Order_Date]]),"January","February","March","April","May","June","July","August","September","October","November","December")</f>
        <v>February</v>
      </c>
      <c r="L12" s="1">
        <f>MONTH(SalesTable[[#This Row],[Order_Date]])</f>
        <v>2</v>
      </c>
    </row>
    <row r="13" spans="1:12" x14ac:dyDescent="0.25">
      <c r="A13" s="1">
        <v>1012</v>
      </c>
      <c r="B13" s="7">
        <v>45327</v>
      </c>
      <c r="C13" s="1" t="str">
        <f ca="1">TRIM(SalesTable[[#This Row],[Customer_Name]])</f>
        <v>Sarah Khaled</v>
      </c>
      <c r="D13" s="1" t="str">
        <f ca="1">TRIM(SalesTable[[#This Row],[Product]])</f>
        <v>Headphones Z</v>
      </c>
      <c r="E13" s="1" t="str">
        <f ca="1">TRIM(SalesTable[[#This Row],[Category]])</f>
        <v>Accessories</v>
      </c>
      <c r="F13" s="1" t="str">
        <f ca="1">TRIM(SalesTable[[#This Row],[Region]])</f>
        <v>Damascus</v>
      </c>
      <c r="G13" s="9">
        <v>20</v>
      </c>
      <c r="H13" s="10">
        <v>150</v>
      </c>
      <c r="I13" s="1" t="s">
        <v>24</v>
      </c>
      <c r="J13" s="10">
        <f>SalesTable[[#This Row],[Quantity]]*SalesTable[[#This Row],[Unit_Price]]</f>
        <v>3000</v>
      </c>
      <c r="K13" s="1" t="str">
        <f>CHOOSE(MONTH(SalesTable[[#This Row],[Order_Date]]),"January","February","March","April","May","June","July","August","September","October","November","December")</f>
        <v>February</v>
      </c>
      <c r="L13" s="1">
        <f>MONTH(SalesTable[[#This Row],[Order_Date]])</f>
        <v>2</v>
      </c>
    </row>
    <row r="14" spans="1:12" x14ac:dyDescent="0.25">
      <c r="A14" s="1">
        <v>1013</v>
      </c>
      <c r="B14" s="7">
        <v>45330</v>
      </c>
      <c r="C14" s="1" t="str">
        <f ca="1">TRIM(SalesTable[[#This Row],[Customer_Name]])</f>
        <v>Omar Youssef</v>
      </c>
      <c r="D14" s="1" t="str">
        <f ca="1">TRIM(SalesTable[[#This Row],[Product]])</f>
        <v>Monitor 4K</v>
      </c>
      <c r="E14" s="1" t="str">
        <f ca="1">TRIM(SalesTable[[#This Row],[Category]])</f>
        <v>Monitors</v>
      </c>
      <c r="F14" s="1" t="str">
        <f ca="1">TRIM(SalesTable[[#This Row],[Region]])</f>
        <v>Homs</v>
      </c>
      <c r="G14" s="9">
        <v>5</v>
      </c>
      <c r="H14" s="10">
        <v>500</v>
      </c>
      <c r="I14" s="1" t="s">
        <v>22</v>
      </c>
      <c r="J14" s="10">
        <f>SalesTable[[#This Row],[Quantity]]*SalesTable[[#This Row],[Unit_Price]]</f>
        <v>2500</v>
      </c>
      <c r="K14" s="1" t="str">
        <f>CHOOSE(MONTH(SalesTable[[#This Row],[Order_Date]]),"January","February","March","April","May","June","July","August","September","October","November","December")</f>
        <v>February</v>
      </c>
      <c r="L14" s="1">
        <f>MONTH(SalesTable[[#This Row],[Order_Date]])</f>
        <v>2</v>
      </c>
    </row>
    <row r="15" spans="1:12" x14ac:dyDescent="0.25">
      <c r="A15" s="1">
        <v>1014</v>
      </c>
      <c r="B15" s="7">
        <v>45332</v>
      </c>
      <c r="C15" s="1" t="str">
        <f ca="1">TRIM(SalesTable[[#This Row],[Customer_Name]])</f>
        <v>Ahmed Ali</v>
      </c>
      <c r="D15" s="1" t="str">
        <f ca="1">TRIM(SalesTable[[#This Row],[Product]])</f>
        <v>Smartphone X</v>
      </c>
      <c r="E15" s="1" t="str">
        <f ca="1">TRIM(SalesTable[[#This Row],[Category]])</f>
        <v>Phones</v>
      </c>
      <c r="F15" s="1" t="str">
        <f ca="1">TRIM(SalesTable[[#This Row],[Region]])</f>
        <v>Damascus</v>
      </c>
      <c r="G15" s="9">
        <v>4</v>
      </c>
      <c r="H15" s="10">
        <v>800</v>
      </c>
      <c r="I15" s="1" t="s">
        <v>23</v>
      </c>
      <c r="J15" s="10">
        <f>SalesTable[[#This Row],[Quantity]]*SalesTable[[#This Row],[Unit_Price]]</f>
        <v>3200</v>
      </c>
      <c r="K15" s="1" t="str">
        <f>CHOOSE(MONTH(SalesTable[[#This Row],[Order_Date]]),"January","February","March","April","May","June","July","August","September","October","November","December")</f>
        <v>February</v>
      </c>
      <c r="L15" s="1">
        <f>MONTH(SalesTable[[#This Row],[Order_Date]])</f>
        <v>2</v>
      </c>
    </row>
    <row r="16" spans="1:12" x14ac:dyDescent="0.25">
      <c r="A16" s="1">
        <v>1015</v>
      </c>
      <c r="B16" s="7">
        <v>45334</v>
      </c>
      <c r="C16" s="1" t="str">
        <f ca="1">TRIM(SalesTable[[#This Row],[Customer_Name]])</f>
        <v>Al-Amal Foundation</v>
      </c>
      <c r="D16" s="1" t="str">
        <f ca="1">TRIM(SalesTable[[#This Row],[Product]])</f>
        <v>Laptop Pro</v>
      </c>
      <c r="E16" s="1" t="str">
        <f ca="1">TRIM(SalesTable[[#This Row],[Category]])</f>
        <v>Laptops</v>
      </c>
      <c r="F16" s="1" t="str">
        <f ca="1">TRIM(SalesTable[[#This Row],[Region]])</f>
        <v>Latakia</v>
      </c>
      <c r="G16" s="9">
        <v>2</v>
      </c>
      <c r="H16" s="10">
        <v>1200</v>
      </c>
      <c r="I16" s="1" t="s">
        <v>24</v>
      </c>
      <c r="J16" s="10">
        <f>SalesTable[[#This Row],[Quantity]]*SalesTable[[#This Row],[Unit_Price]]</f>
        <v>2400</v>
      </c>
      <c r="K16" s="1" t="str">
        <f>CHOOSE(MONTH(SalesTable[[#This Row],[Order_Date]]),"January","February","March","April","May","June","July","August","September","October","November","December")</f>
        <v>February</v>
      </c>
      <c r="L16" s="1">
        <f>MONTH(SalesTable[[#This Row],[Order_Date]])</f>
        <v>2</v>
      </c>
    </row>
    <row r="17" spans="1:12" x14ac:dyDescent="0.25">
      <c r="A17" s="1">
        <v>1016</v>
      </c>
      <c r="B17" s="7">
        <v>45337</v>
      </c>
      <c r="C17" s="1" t="str">
        <f ca="1">TRIM(SalesTable[[#This Row],[Customer_Name]])</f>
        <v>Al-Nour Company</v>
      </c>
      <c r="D17" s="1" t="str">
        <f ca="1">TRIM(SalesTable[[#This Row],[Product]])</f>
        <v>Monitor 4K</v>
      </c>
      <c r="E17" s="1" t="str">
        <f ca="1">TRIM(SalesTable[[#This Row],[Category]])</f>
        <v>Monitors</v>
      </c>
      <c r="F17" s="1" t="str">
        <f ca="1">TRIM(SalesTable[[#This Row],[Region]])</f>
        <v>Aleppo</v>
      </c>
      <c r="G17" s="9">
        <v>7</v>
      </c>
      <c r="H17" s="10">
        <v>500</v>
      </c>
      <c r="I17" s="1" t="s">
        <v>22</v>
      </c>
      <c r="J17" s="10">
        <f>SalesTable[[#This Row],[Quantity]]*SalesTable[[#This Row],[Unit_Price]]</f>
        <v>3500</v>
      </c>
      <c r="K17" s="1" t="str">
        <f>CHOOSE(MONTH(SalesTable[[#This Row],[Order_Date]]),"January","February","March","April","May","June","July","August","September","October","November","December")</f>
        <v>February</v>
      </c>
      <c r="L17" s="1">
        <f>MONTH(SalesTable[[#This Row],[Order_Date]])</f>
        <v>2</v>
      </c>
    </row>
    <row r="18" spans="1:12" x14ac:dyDescent="0.25">
      <c r="A18" s="1">
        <v>1017</v>
      </c>
      <c r="B18" s="7">
        <v>45340</v>
      </c>
      <c r="C18" s="1" t="str">
        <f ca="1">TRIM(SalesTable[[#This Row],[Customer_Name]])</f>
        <v>Mohammed Hassan</v>
      </c>
      <c r="D18" s="1" t="str">
        <f ca="1">TRIM(SalesTable[[#This Row],[Product]])</f>
        <v>Laptop Air</v>
      </c>
      <c r="E18" s="1" t="str">
        <f ca="1">TRIM(SalesTable[[#This Row],[Category]])</f>
        <v>Laptops</v>
      </c>
      <c r="F18" s="1" t="str">
        <f ca="1">TRIM(SalesTable[[#This Row],[Region]])</f>
        <v>Damascus</v>
      </c>
      <c r="G18" s="9">
        <v>3</v>
      </c>
      <c r="H18" s="10">
        <v>1000</v>
      </c>
      <c r="I18" s="1" t="s">
        <v>23</v>
      </c>
      <c r="J18" s="10">
        <f>SalesTable[[#This Row],[Quantity]]*SalesTable[[#This Row],[Unit_Price]]</f>
        <v>3000</v>
      </c>
      <c r="K18" s="1" t="str">
        <f>CHOOSE(MONTH(SalesTable[[#This Row],[Order_Date]]),"January","February","March","April","May","June","July","August","September","October","November","December")</f>
        <v>February</v>
      </c>
      <c r="L18" s="1">
        <f>MONTH(SalesTable[[#This Row],[Order_Date]])</f>
        <v>2</v>
      </c>
    </row>
    <row r="19" spans="1:12" x14ac:dyDescent="0.25">
      <c r="A19" s="1">
        <v>1018</v>
      </c>
      <c r="B19" s="7">
        <v>45342</v>
      </c>
      <c r="C19" s="1" t="str">
        <f ca="1">TRIM(SalesTable[[#This Row],[Customer_Name]])</f>
        <v>Sarah Khaled</v>
      </c>
      <c r="D19" s="1" t="str">
        <f ca="1">TRIM(SalesTable[[#This Row],[Product]])</f>
        <v>Smartphone X</v>
      </c>
      <c r="E19" s="1" t="str">
        <f ca="1">TRIM(SalesTable[[#This Row],[Category]])</f>
        <v>Phones</v>
      </c>
      <c r="F19" s="1" t="str">
        <f ca="1">TRIM(SalesTable[[#This Row],[Region]])</f>
        <v>Homs</v>
      </c>
      <c r="G19" s="9">
        <v>6</v>
      </c>
      <c r="H19" s="10">
        <v>800</v>
      </c>
      <c r="I19" s="1" t="s">
        <v>24</v>
      </c>
      <c r="J19" s="10">
        <f>SalesTable[[#This Row],[Quantity]]*SalesTable[[#This Row],[Unit_Price]]</f>
        <v>4800</v>
      </c>
      <c r="K19" s="1" t="str">
        <f>CHOOSE(MONTH(SalesTable[[#This Row],[Order_Date]]),"January","February","March","April","May","June","July","August","September","October","November","December")</f>
        <v>February</v>
      </c>
      <c r="L19" s="1">
        <f>MONTH(SalesTable[[#This Row],[Order_Date]])</f>
        <v>2</v>
      </c>
    </row>
    <row r="20" spans="1:12" x14ac:dyDescent="0.25">
      <c r="A20" s="1">
        <v>1019</v>
      </c>
      <c r="B20" s="7">
        <v>45344</v>
      </c>
      <c r="C20" s="1" t="str">
        <f ca="1">TRIM(SalesTable[[#This Row],[Customer_Name]])</f>
        <v>Omar Youssef</v>
      </c>
      <c r="D20" s="1" t="str">
        <f ca="1">TRIM(SalesTable[[#This Row],[Product]])</f>
        <v>Headphones Z</v>
      </c>
      <c r="E20" s="1" t="str">
        <f ca="1">TRIM(SalesTable[[#This Row],[Category]])</f>
        <v>Accessories</v>
      </c>
      <c r="F20" s="1" t="str">
        <f ca="1">TRIM(SalesTable[[#This Row],[Region]])</f>
        <v>Aleppo</v>
      </c>
      <c r="G20" s="9">
        <v>25</v>
      </c>
      <c r="H20" s="10">
        <v>150</v>
      </c>
      <c r="I20" s="1" t="s">
        <v>22</v>
      </c>
      <c r="J20" s="10">
        <f>SalesTable[[#This Row],[Quantity]]*SalesTable[[#This Row],[Unit_Price]]</f>
        <v>3750</v>
      </c>
      <c r="K20" s="1" t="str">
        <f>CHOOSE(MONTH(SalesTable[[#This Row],[Order_Date]]),"January","February","March","April","May","June","July","August","September","October","November","December")</f>
        <v>February</v>
      </c>
      <c r="L20" s="1">
        <f>MONTH(SalesTable[[#This Row],[Order_Date]])</f>
        <v>2</v>
      </c>
    </row>
    <row r="21" spans="1:12" x14ac:dyDescent="0.25">
      <c r="A21" s="1">
        <v>1020</v>
      </c>
      <c r="B21" s="7">
        <v>45347</v>
      </c>
      <c r="C21" s="1" t="str">
        <f ca="1">TRIM(SalesTable[[#This Row],[Customer_Name]])</f>
        <v>Ahmed Ali</v>
      </c>
      <c r="D21" s="1" t="str">
        <f ca="1">TRIM(SalesTable[[#This Row],[Product]])</f>
        <v>Laptop Pro</v>
      </c>
      <c r="E21" s="1" t="str">
        <f ca="1">TRIM(SalesTable[[#This Row],[Category]])</f>
        <v>Laptops</v>
      </c>
      <c r="F21" s="1" t="str">
        <f ca="1">TRIM(SalesTable[[#This Row],[Region]])</f>
        <v>Damascus</v>
      </c>
      <c r="G21" s="9">
        <v>1</v>
      </c>
      <c r="H21" s="10">
        <v>1200</v>
      </c>
      <c r="I21" s="1" t="s">
        <v>23</v>
      </c>
      <c r="J21" s="10">
        <f>SalesTable[[#This Row],[Quantity]]*SalesTable[[#This Row],[Unit_Price]]</f>
        <v>1200</v>
      </c>
      <c r="K21" s="1" t="str">
        <f>CHOOSE(MONTH(SalesTable[[#This Row],[Order_Date]]),"January","February","March","April","May","June","July","August","September","October","November","December")</f>
        <v>February</v>
      </c>
      <c r="L21" s="1">
        <f>MONTH(SalesTable[[#This Row],[Order_Date]])</f>
        <v>2</v>
      </c>
    </row>
    <row r="22" spans="1:12" x14ac:dyDescent="0.25">
      <c r="A22" s="1">
        <v>1021</v>
      </c>
      <c r="B22" s="7">
        <v>45352</v>
      </c>
      <c r="C22" s="1" t="str">
        <f ca="1">TRIM(SalesTable[[#This Row],[Customer_Name]])</f>
        <v>Al-Amal Foundation</v>
      </c>
      <c r="D22" s="1" t="str">
        <f ca="1">TRIM(SalesTable[[#This Row],[Product]])</f>
        <v>Smartphone X</v>
      </c>
      <c r="E22" s="1" t="str">
        <f ca="1">TRIM(SalesTable[[#This Row],[Category]])</f>
        <v>Phones</v>
      </c>
      <c r="F22" s="1" t="str">
        <f ca="1">TRIM(SalesTable[[#This Row],[Region]])</f>
        <v>Latakia</v>
      </c>
      <c r="G22" s="9">
        <v>10</v>
      </c>
      <c r="H22" s="10">
        <v>800</v>
      </c>
      <c r="I22" s="1" t="s">
        <v>24</v>
      </c>
      <c r="J22" s="10">
        <f>SalesTable[[#This Row],[Quantity]]*SalesTable[[#This Row],[Unit_Price]]</f>
        <v>8000</v>
      </c>
      <c r="K22" s="1" t="str">
        <f>CHOOSE(MONTH(SalesTable[[#This Row],[Order_Date]]),"January","February","March","April","May","June","July","August","September","October","November","December")</f>
        <v>March</v>
      </c>
      <c r="L22" s="1">
        <f>MONTH(SalesTable[[#This Row],[Order_Date]])</f>
        <v>3</v>
      </c>
    </row>
    <row r="23" spans="1:12" x14ac:dyDescent="0.25">
      <c r="A23" s="1">
        <v>1022</v>
      </c>
      <c r="B23" s="7">
        <v>45355</v>
      </c>
      <c r="C23" s="1" t="str">
        <f ca="1">TRIM(SalesTable[[#This Row],[Customer_Name]])</f>
        <v>Al-Nour Company</v>
      </c>
      <c r="D23" s="1" t="str">
        <f ca="1">TRIM(SalesTable[[#This Row],[Product]])</f>
        <v>Headphones Z</v>
      </c>
      <c r="E23" s="1" t="str">
        <f ca="1">TRIM(SalesTable[[#This Row],[Category]])</f>
        <v>Accessories</v>
      </c>
      <c r="F23" s="1" t="str">
        <f ca="1">TRIM(SalesTable[[#This Row],[Region]])</f>
        <v>Aleppo</v>
      </c>
      <c r="G23" s="9">
        <v>30</v>
      </c>
      <c r="H23" s="10">
        <v>150</v>
      </c>
      <c r="I23" s="1" t="s">
        <v>22</v>
      </c>
      <c r="J23" s="10">
        <f>SalesTable[[#This Row],[Quantity]]*SalesTable[[#This Row],[Unit_Price]]</f>
        <v>4500</v>
      </c>
      <c r="K23" s="1" t="str">
        <f>CHOOSE(MONTH(SalesTable[[#This Row],[Order_Date]]),"January","February","March","April","May","June","July","August","September","October","November","December")</f>
        <v>March</v>
      </c>
      <c r="L23" s="1">
        <f>MONTH(SalesTable[[#This Row],[Order_Date]])</f>
        <v>3</v>
      </c>
    </row>
    <row r="24" spans="1:12" x14ac:dyDescent="0.25">
      <c r="A24" s="1">
        <v>1023</v>
      </c>
      <c r="B24" s="7">
        <v>45358</v>
      </c>
      <c r="C24" s="1" t="str">
        <f ca="1">TRIM(SalesTable[[#This Row],[Customer_Name]])</f>
        <v>Mohammed Hassan</v>
      </c>
      <c r="D24" s="1" t="str">
        <f ca="1">TRIM(SalesTable[[#This Row],[Product]])</f>
        <v>Monitor 4K</v>
      </c>
      <c r="E24" s="1" t="str">
        <f ca="1">TRIM(SalesTable[[#This Row],[Category]])</f>
        <v>Monitors</v>
      </c>
      <c r="F24" s="1" t="str">
        <f ca="1">TRIM(SalesTable[[#This Row],[Region]])</f>
        <v>Damascus</v>
      </c>
      <c r="G24" s="9">
        <v>4</v>
      </c>
      <c r="H24" s="10">
        <v>500</v>
      </c>
      <c r="I24" s="1" t="s">
        <v>23</v>
      </c>
      <c r="J24" s="10">
        <f>SalesTable[[#This Row],[Quantity]]*SalesTable[[#This Row],[Unit_Price]]</f>
        <v>2000</v>
      </c>
      <c r="K24" s="1" t="str">
        <f>CHOOSE(MONTH(SalesTable[[#This Row],[Order_Date]]),"January","February","March","April","May","June","July","August","September","October","November","December")</f>
        <v>March</v>
      </c>
      <c r="L24" s="1">
        <f>MONTH(SalesTable[[#This Row],[Order_Date]])</f>
        <v>3</v>
      </c>
    </row>
    <row r="25" spans="1:12" x14ac:dyDescent="0.25">
      <c r="A25" s="1">
        <v>1024</v>
      </c>
      <c r="B25" s="7">
        <v>45361</v>
      </c>
      <c r="C25" s="1" t="str">
        <f ca="1">TRIM(SalesTable[[#This Row],[Customer_Name]])</f>
        <v>Sarah Khaled</v>
      </c>
      <c r="D25" s="1" t="str">
        <f ca="1">TRIM(SalesTable[[#This Row],[Product]])</f>
        <v>Laptop Pro</v>
      </c>
      <c r="E25" s="1" t="str">
        <f ca="1">TRIM(SalesTable[[#This Row],[Category]])</f>
        <v>Laptops</v>
      </c>
      <c r="F25" s="1" t="str">
        <f ca="1">TRIM(SalesTable[[#This Row],[Region]])</f>
        <v>Homs</v>
      </c>
      <c r="G25" s="9">
        <v>2</v>
      </c>
      <c r="H25" s="10">
        <v>1200</v>
      </c>
      <c r="I25" s="1" t="s">
        <v>24</v>
      </c>
      <c r="J25" s="10">
        <f>SalesTable[[#This Row],[Quantity]]*SalesTable[[#This Row],[Unit_Price]]</f>
        <v>2400</v>
      </c>
      <c r="K25" s="1" t="str">
        <f>CHOOSE(MONTH(SalesTable[[#This Row],[Order_Date]]),"January","February","March","April","May","June","July","August","September","October","November","December")</f>
        <v>March</v>
      </c>
      <c r="L25" s="1">
        <f>MONTH(SalesTable[[#This Row],[Order_Date]])</f>
        <v>3</v>
      </c>
    </row>
    <row r="26" spans="1:12" x14ac:dyDescent="0.25">
      <c r="A26" s="1">
        <v>1025</v>
      </c>
      <c r="B26" s="7">
        <v>45363</v>
      </c>
      <c r="C26" s="1" t="str">
        <f ca="1">TRIM(SalesTable[[#This Row],[Customer_Name]])</f>
        <v>Omar Youssef</v>
      </c>
      <c r="D26" s="1" t="str">
        <f ca="1">TRIM(SalesTable[[#This Row],[Product]])</f>
        <v>Laptop Air</v>
      </c>
      <c r="E26" s="1" t="str">
        <f ca="1">TRIM(SalesTable[[#This Row],[Category]])</f>
        <v>Laptops</v>
      </c>
      <c r="F26" s="1" t="str">
        <f ca="1">TRIM(SalesTable[[#This Row],[Region]])</f>
        <v>Damascus</v>
      </c>
      <c r="G26" s="9">
        <v>5</v>
      </c>
      <c r="H26" s="10">
        <v>1000</v>
      </c>
      <c r="I26" s="1" t="s">
        <v>22</v>
      </c>
      <c r="J26" s="10">
        <f>SalesTable[[#This Row],[Quantity]]*SalesTable[[#This Row],[Unit_Price]]</f>
        <v>5000</v>
      </c>
      <c r="K26" s="1" t="str">
        <f>CHOOSE(MONTH(SalesTable[[#This Row],[Order_Date]]),"January","February","March","April","May","June","July","August","September","October","November","December")</f>
        <v>March</v>
      </c>
      <c r="L26" s="1">
        <f>MONTH(SalesTable[[#This Row],[Order_Date]])</f>
        <v>3</v>
      </c>
    </row>
    <row r="27" spans="1:12" x14ac:dyDescent="0.25">
      <c r="A27" s="1">
        <v>1026</v>
      </c>
      <c r="B27" s="7">
        <v>45366</v>
      </c>
      <c r="C27" s="1" t="str">
        <f ca="1">TRIM(SalesTable[[#This Row],[Customer_Name]])</f>
        <v>Ahmed Ali</v>
      </c>
      <c r="D27" s="1" t="str">
        <f ca="1">TRIM(SalesTable[[#This Row],[Product]])</f>
        <v>Headphones Z</v>
      </c>
      <c r="E27" s="1" t="str">
        <f ca="1">TRIM(SalesTable[[#This Row],[Category]])</f>
        <v>Accessories</v>
      </c>
      <c r="F27" s="1" t="str">
        <f ca="1">TRIM(SalesTable[[#This Row],[Region]])</f>
        <v>Latakia</v>
      </c>
      <c r="G27" s="9">
        <v>12</v>
      </c>
      <c r="H27" s="10">
        <v>150</v>
      </c>
      <c r="I27" s="1" t="s">
        <v>23</v>
      </c>
      <c r="J27" s="10">
        <f>SalesTable[[#This Row],[Quantity]]*SalesTable[[#This Row],[Unit_Price]]</f>
        <v>1800</v>
      </c>
      <c r="K27" s="1" t="str">
        <f>CHOOSE(MONTH(SalesTable[[#This Row],[Order_Date]]),"January","February","March","April","May","June","July","August","September","October","November","December")</f>
        <v>March</v>
      </c>
      <c r="L27" s="1">
        <f>MONTH(SalesTable[[#This Row],[Order_Date]])</f>
        <v>3</v>
      </c>
    </row>
    <row r="28" spans="1:12" x14ac:dyDescent="0.25">
      <c r="A28" s="1">
        <v>1027</v>
      </c>
      <c r="B28" s="7">
        <v>45369</v>
      </c>
      <c r="C28" s="1" t="str">
        <f ca="1">TRIM(SalesTable[[#This Row],[Customer_Name]])</f>
        <v>Al-Amal Foundation</v>
      </c>
      <c r="D28" s="1" t="str">
        <f ca="1">TRIM(SalesTable[[#This Row],[Product]])</f>
        <v>Monitor 4K</v>
      </c>
      <c r="E28" s="1" t="str">
        <f ca="1">TRIM(SalesTable[[#This Row],[Category]])</f>
        <v>Monitors</v>
      </c>
      <c r="F28" s="1" t="str">
        <f ca="1">TRIM(SalesTable[[#This Row],[Region]])</f>
        <v>Aleppo</v>
      </c>
      <c r="G28" s="9">
        <v>6</v>
      </c>
      <c r="H28" s="10">
        <v>500</v>
      </c>
      <c r="I28" s="1" t="s">
        <v>24</v>
      </c>
      <c r="J28" s="10">
        <f>SalesTable[[#This Row],[Quantity]]*SalesTable[[#This Row],[Unit_Price]]</f>
        <v>3000</v>
      </c>
      <c r="K28" s="1" t="str">
        <f>CHOOSE(MONTH(SalesTable[[#This Row],[Order_Date]]),"January","February","March","April","May","June","July","August","September","October","November","December")</f>
        <v>March</v>
      </c>
      <c r="L28" s="1">
        <f>MONTH(SalesTable[[#This Row],[Order_Date]])</f>
        <v>3</v>
      </c>
    </row>
    <row r="29" spans="1:12" x14ac:dyDescent="0.25">
      <c r="A29" s="1">
        <v>1028</v>
      </c>
      <c r="B29" s="7">
        <v>45371</v>
      </c>
      <c r="C29" s="1" t="str">
        <f ca="1">TRIM(SalesTable[[#This Row],[Customer_Name]])</f>
        <v>Al-Nour Company</v>
      </c>
      <c r="D29" s="1" t="str">
        <f ca="1">TRIM(SalesTable[[#This Row],[Product]])</f>
        <v>Smartphone X</v>
      </c>
      <c r="E29" s="1" t="str">
        <f ca="1">TRIM(SalesTable[[#This Row],[Category]])</f>
        <v>Phones</v>
      </c>
      <c r="F29" s="1" t="str">
        <f ca="1">TRIM(SalesTable[[#This Row],[Region]])</f>
        <v>Damascus</v>
      </c>
      <c r="G29" s="9">
        <v>15</v>
      </c>
      <c r="H29" s="10">
        <v>800</v>
      </c>
      <c r="I29" s="1" t="s">
        <v>22</v>
      </c>
      <c r="J29" s="10">
        <f>SalesTable[[#This Row],[Quantity]]*SalesTable[[#This Row],[Unit_Price]]</f>
        <v>12000</v>
      </c>
      <c r="K29" s="1" t="str">
        <f>CHOOSE(MONTH(SalesTable[[#This Row],[Order_Date]]),"January","February","March","April","May","June","July","August","September","October","November","December")</f>
        <v>March</v>
      </c>
      <c r="L29" s="1">
        <f>MONTH(SalesTable[[#This Row],[Order_Date]])</f>
        <v>3</v>
      </c>
    </row>
    <row r="30" spans="1:12" x14ac:dyDescent="0.25">
      <c r="A30" s="1">
        <v>1029</v>
      </c>
      <c r="B30" s="7">
        <v>45373</v>
      </c>
      <c r="C30" s="1" t="str">
        <f ca="1">TRIM(SalesTable[[#This Row],[Customer_Name]])</f>
        <v>Mohammed Hassan</v>
      </c>
      <c r="D30" s="1" t="str">
        <f ca="1">TRIM(SalesTable[[#This Row],[Product]])</f>
        <v>Laptop Pro</v>
      </c>
      <c r="E30" s="1" t="str">
        <f ca="1">TRIM(SalesTable[[#This Row],[Category]])</f>
        <v>Laptops</v>
      </c>
      <c r="F30" s="1" t="str">
        <f ca="1">TRIM(SalesTable[[#This Row],[Region]])</f>
        <v>Homs</v>
      </c>
      <c r="G30" s="9">
        <v>3</v>
      </c>
      <c r="H30" s="10">
        <v>1200</v>
      </c>
      <c r="I30" s="1" t="s">
        <v>23</v>
      </c>
      <c r="J30" s="10">
        <f>SalesTable[[#This Row],[Quantity]]*SalesTable[[#This Row],[Unit_Price]]</f>
        <v>3600</v>
      </c>
      <c r="K30" s="1" t="str">
        <f>CHOOSE(MONTH(SalesTable[[#This Row],[Order_Date]]),"January","February","March","April","May","June","July","August","September","October","November","December")</f>
        <v>March</v>
      </c>
      <c r="L30" s="1">
        <f>MONTH(SalesTable[[#This Row],[Order_Date]])</f>
        <v>3</v>
      </c>
    </row>
    <row r="31" spans="1:12" x14ac:dyDescent="0.25">
      <c r="A31" s="1">
        <v>1030</v>
      </c>
      <c r="B31" s="7">
        <v>45376</v>
      </c>
      <c r="C31" s="1" t="str">
        <f ca="1">TRIM(SalesTable[[#This Row],[Customer_Name]])</f>
        <v>Sarah Khaled</v>
      </c>
      <c r="D31" s="1" t="str">
        <f ca="1">TRIM(SalesTable[[#This Row],[Product]])</f>
        <v>Headphones Z</v>
      </c>
      <c r="E31" s="1" t="str">
        <f ca="1">TRIM(SalesTable[[#This Row],[Category]])</f>
        <v>Accessories</v>
      </c>
      <c r="F31" s="1" t="str">
        <f ca="1">TRIM(SalesTable[[#This Row],[Region]])</f>
        <v>Damascus</v>
      </c>
      <c r="G31" s="9">
        <v>18</v>
      </c>
      <c r="H31" s="10">
        <v>150</v>
      </c>
      <c r="I31" s="1" t="s">
        <v>24</v>
      </c>
      <c r="J31" s="10">
        <f>SalesTable[[#This Row],[Quantity]]*SalesTable[[#This Row],[Unit_Price]]</f>
        <v>2700</v>
      </c>
      <c r="K31" s="1" t="str">
        <f>CHOOSE(MONTH(SalesTable[[#This Row],[Order_Date]]),"January","February","March","April","May","June","July","August","September","October","November","December")</f>
        <v>March</v>
      </c>
      <c r="L31" s="1">
        <f>MONTH(SalesTable[[#This Row],[Order_Date]])</f>
        <v>3</v>
      </c>
    </row>
    <row r="32" spans="1:12" x14ac:dyDescent="0.25">
      <c r="A32" s="20"/>
      <c r="B32" s="21"/>
      <c r="C32" s="20"/>
      <c r="D32" s="20"/>
      <c r="E32" s="22"/>
      <c r="F32" s="22"/>
      <c r="G32" s="23"/>
      <c r="H32" s="24"/>
      <c r="I32" s="20"/>
      <c r="J32" s="24">
        <f>SUM(SalesTable[Total_Sales])</f>
        <v>105600</v>
      </c>
      <c r="K32" s="22"/>
      <c r="L32" s="22"/>
    </row>
  </sheetData>
  <conditionalFormatting sqref="A2:A31">
    <cfRule type="duplicateValues" dxfId="12" priority="1"/>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59E0-4218-4281-9355-997C4C0B7833}">
  <dimension ref="A3:B8"/>
  <sheetViews>
    <sheetView workbookViewId="0">
      <selection activeCell="B5" sqref="B5"/>
    </sheetView>
  </sheetViews>
  <sheetFormatPr defaultRowHeight="13.8" x14ac:dyDescent="0.25"/>
  <cols>
    <col min="1" max="1" width="13.09765625" bestFit="1" customWidth="1"/>
    <col min="2" max="2" width="17.8984375" bestFit="1" customWidth="1"/>
  </cols>
  <sheetData>
    <row r="3" spans="1:2" x14ac:dyDescent="0.25">
      <c r="A3" s="11" t="s">
        <v>28</v>
      </c>
      <c r="B3" t="s">
        <v>30</v>
      </c>
    </row>
    <row r="4" spans="1:2" x14ac:dyDescent="0.25">
      <c r="A4" s="12" t="s">
        <v>14</v>
      </c>
      <c r="B4" s="13">
        <v>31150</v>
      </c>
    </row>
    <row r="5" spans="1:2" x14ac:dyDescent="0.25">
      <c r="A5" s="12" t="s">
        <v>11</v>
      </c>
      <c r="B5" s="13">
        <v>39250</v>
      </c>
    </row>
    <row r="6" spans="1:2" x14ac:dyDescent="0.25">
      <c r="A6" s="12" t="s">
        <v>17</v>
      </c>
      <c r="B6" s="13">
        <v>19600</v>
      </c>
    </row>
    <row r="7" spans="1:2" x14ac:dyDescent="0.25">
      <c r="A7" s="12" t="s">
        <v>21</v>
      </c>
      <c r="B7" s="13">
        <v>15600</v>
      </c>
    </row>
    <row r="8" spans="1:2" x14ac:dyDescent="0.25">
      <c r="A8" s="12" t="s">
        <v>29</v>
      </c>
      <c r="B8" s="13">
        <v>105600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151B-C6A9-4EED-B7A2-31484622FF31}">
  <dimension ref="A3:B8"/>
  <sheetViews>
    <sheetView workbookViewId="0">
      <selection activeCell="B5" sqref="B5"/>
    </sheetView>
  </sheetViews>
  <sheetFormatPr defaultRowHeight="13.8" x14ac:dyDescent="0.25"/>
  <cols>
    <col min="1" max="1" width="13.09765625" bestFit="1" customWidth="1"/>
    <col min="2" max="2" width="17.8984375" bestFit="1" customWidth="1"/>
  </cols>
  <sheetData>
    <row r="3" spans="1:2" x14ac:dyDescent="0.25">
      <c r="A3" s="11" t="s">
        <v>28</v>
      </c>
      <c r="B3" t="s">
        <v>30</v>
      </c>
    </row>
    <row r="4" spans="1:2" x14ac:dyDescent="0.25">
      <c r="A4" s="12" t="s">
        <v>16</v>
      </c>
      <c r="B4" s="13">
        <v>19500</v>
      </c>
    </row>
    <row r="5" spans="1:2" x14ac:dyDescent="0.25">
      <c r="A5" s="12" t="s">
        <v>10</v>
      </c>
      <c r="B5" s="13">
        <v>31800</v>
      </c>
    </row>
    <row r="6" spans="1:2" x14ac:dyDescent="0.25">
      <c r="A6" s="12" t="s">
        <v>19</v>
      </c>
      <c r="B6" s="13">
        <v>13500</v>
      </c>
    </row>
    <row r="7" spans="1:2" x14ac:dyDescent="0.25">
      <c r="A7" s="12" t="s">
        <v>13</v>
      </c>
      <c r="B7" s="13">
        <v>40800</v>
      </c>
    </row>
    <row r="8" spans="1:2" x14ac:dyDescent="0.25">
      <c r="A8" s="12" t="s">
        <v>29</v>
      </c>
      <c r="B8" s="13">
        <v>105600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03D0-84B3-4FC8-BD08-428FAFD45632}">
  <dimension ref="A3:B7"/>
  <sheetViews>
    <sheetView workbookViewId="0">
      <selection activeCell="C18" sqref="C18"/>
    </sheetView>
  </sheetViews>
  <sheetFormatPr defaultRowHeight="13.8" x14ac:dyDescent="0.25"/>
  <cols>
    <col min="1" max="1" width="13.09765625" bestFit="1" customWidth="1"/>
    <col min="2" max="2" width="17.8984375" bestFit="1" customWidth="1"/>
  </cols>
  <sheetData>
    <row r="3" spans="1:2" x14ac:dyDescent="0.25">
      <c r="A3" s="11" t="s">
        <v>28</v>
      </c>
      <c r="B3" t="s">
        <v>30</v>
      </c>
    </row>
    <row r="4" spans="1:2" x14ac:dyDescent="0.25">
      <c r="A4" s="12" t="s">
        <v>23</v>
      </c>
      <c r="B4" s="13">
        <v>26800</v>
      </c>
    </row>
    <row r="5" spans="1:2" x14ac:dyDescent="0.25">
      <c r="A5" s="12" t="s">
        <v>24</v>
      </c>
      <c r="B5" s="13">
        <v>39000</v>
      </c>
    </row>
    <row r="6" spans="1:2" x14ac:dyDescent="0.25">
      <c r="A6" s="12" t="s">
        <v>22</v>
      </c>
      <c r="B6" s="13">
        <v>39800</v>
      </c>
    </row>
    <row r="7" spans="1:2" x14ac:dyDescent="0.25">
      <c r="A7" s="12" t="s">
        <v>29</v>
      </c>
      <c r="B7" s="13">
        <v>105600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202D-6555-4B17-8392-8A6753E4A04D}">
  <dimension ref="A3:B7"/>
  <sheetViews>
    <sheetView workbookViewId="0">
      <selection activeCell="H21" sqref="H21"/>
    </sheetView>
  </sheetViews>
  <sheetFormatPr defaultRowHeight="13.8" x14ac:dyDescent="0.25"/>
  <cols>
    <col min="1" max="1" width="13.09765625" bestFit="1" customWidth="1"/>
    <col min="2" max="2" width="17.8984375" bestFit="1" customWidth="1"/>
  </cols>
  <sheetData>
    <row r="3" spans="1:2" x14ac:dyDescent="0.25">
      <c r="A3" s="11" t="s">
        <v>28</v>
      </c>
      <c r="B3" t="s">
        <v>30</v>
      </c>
    </row>
    <row r="4" spans="1:2" x14ac:dyDescent="0.25">
      <c r="A4" s="12" t="s">
        <v>33</v>
      </c>
      <c r="B4" s="13">
        <v>45000</v>
      </c>
    </row>
    <row r="5" spans="1:2" x14ac:dyDescent="0.25">
      <c r="A5" s="12" t="s">
        <v>32</v>
      </c>
      <c r="B5" s="13">
        <v>33350</v>
      </c>
    </row>
    <row r="6" spans="1:2" x14ac:dyDescent="0.25">
      <c r="A6" s="12" t="s">
        <v>31</v>
      </c>
      <c r="B6" s="13">
        <v>27250</v>
      </c>
    </row>
    <row r="7" spans="1:2" x14ac:dyDescent="0.25">
      <c r="A7" s="12" t="s">
        <v>29</v>
      </c>
      <c r="B7" s="13">
        <v>105600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9F03-7609-4CC3-B8C5-DED8282A849B}">
  <dimension ref="A3:B9"/>
  <sheetViews>
    <sheetView workbookViewId="0">
      <selection activeCell="B7" sqref="B7"/>
    </sheetView>
  </sheetViews>
  <sheetFormatPr defaultRowHeight="13.8" x14ac:dyDescent="0.25"/>
  <cols>
    <col min="1" max="1" width="16.8984375" bestFit="1" customWidth="1"/>
    <col min="2" max="2" width="17.8984375" bestFit="1" customWidth="1"/>
  </cols>
  <sheetData>
    <row r="3" spans="1:2" x14ac:dyDescent="0.25">
      <c r="A3" s="11" t="s">
        <v>28</v>
      </c>
      <c r="B3" t="s">
        <v>30</v>
      </c>
    </row>
    <row r="4" spans="1:2" x14ac:dyDescent="0.25">
      <c r="A4" s="12" t="s">
        <v>35</v>
      </c>
      <c r="B4" s="13">
        <v>36400</v>
      </c>
    </row>
    <row r="5" spans="1:2" x14ac:dyDescent="0.25">
      <c r="A5" s="12" t="s">
        <v>34</v>
      </c>
      <c r="B5" s="13">
        <v>19700</v>
      </c>
    </row>
    <row r="6" spans="1:2" x14ac:dyDescent="0.25">
      <c r="A6" s="12" t="s">
        <v>38</v>
      </c>
      <c r="B6" s="13">
        <v>13900</v>
      </c>
    </row>
    <row r="7" spans="1:2" x14ac:dyDescent="0.25">
      <c r="A7" s="12" t="s">
        <v>37</v>
      </c>
      <c r="B7" s="13">
        <v>13500</v>
      </c>
    </row>
    <row r="8" spans="1:2" x14ac:dyDescent="0.25">
      <c r="A8" s="12" t="s">
        <v>36</v>
      </c>
      <c r="B8" s="13">
        <v>12500</v>
      </c>
    </row>
    <row r="9" spans="1:2" x14ac:dyDescent="0.25">
      <c r="A9" s="12" t="s">
        <v>29</v>
      </c>
      <c r="B9" s="13">
        <v>96000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429B-8870-4B6F-9BFA-B95A0ED2DFAF}">
  <dimension ref="A3:D28"/>
  <sheetViews>
    <sheetView workbookViewId="0">
      <selection activeCell="B5" sqref="B5"/>
    </sheetView>
  </sheetViews>
  <sheetFormatPr defaultRowHeight="13.8" x14ac:dyDescent="0.25"/>
  <cols>
    <col min="1" max="1" width="13.09765625" bestFit="1" customWidth="1"/>
    <col min="2" max="2" width="17.8984375" bestFit="1" customWidth="1"/>
  </cols>
  <sheetData>
    <row r="3" spans="1:2" x14ac:dyDescent="0.25">
      <c r="A3" s="11" t="s">
        <v>28</v>
      </c>
      <c r="B3" t="s">
        <v>30</v>
      </c>
    </row>
    <row r="4" spans="1:2" x14ac:dyDescent="0.25">
      <c r="A4" s="12" t="s">
        <v>12</v>
      </c>
      <c r="B4" s="13">
        <v>40800</v>
      </c>
    </row>
    <row r="5" spans="1:2" x14ac:dyDescent="0.25">
      <c r="A5" s="12" t="s">
        <v>15</v>
      </c>
      <c r="B5" s="13">
        <v>19500</v>
      </c>
    </row>
    <row r="6" spans="1:2" x14ac:dyDescent="0.25">
      <c r="A6" s="12" t="s">
        <v>9</v>
      </c>
      <c r="B6" s="13">
        <v>16800</v>
      </c>
    </row>
    <row r="7" spans="1:2" x14ac:dyDescent="0.25">
      <c r="A7" s="12" t="s">
        <v>20</v>
      </c>
      <c r="B7" s="13">
        <v>15000</v>
      </c>
    </row>
    <row r="8" spans="1:2" x14ac:dyDescent="0.25">
      <c r="A8" s="12" t="s">
        <v>18</v>
      </c>
      <c r="B8" s="13">
        <v>13500</v>
      </c>
    </row>
    <row r="9" spans="1:2" x14ac:dyDescent="0.25">
      <c r="A9" s="12" t="s">
        <v>29</v>
      </c>
      <c r="B9" s="13">
        <v>105600</v>
      </c>
    </row>
    <row r="28" spans="4:4" x14ac:dyDescent="0.25">
      <c r="D28" t="s">
        <v>39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Sales by Region</vt:lpstr>
      <vt:lpstr>Sales by Category</vt:lpstr>
      <vt:lpstr>Sales by Sales Rep</vt:lpstr>
      <vt:lpstr>Monthly Trend</vt:lpstr>
      <vt:lpstr>Top 5</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 Zhere</dc:creator>
  <cp:lastModifiedBy>Sami Zhere</cp:lastModifiedBy>
  <dcterms:created xsi:type="dcterms:W3CDTF">2026-09-15T11:02:20Z</dcterms:created>
  <dcterms:modified xsi:type="dcterms:W3CDTF">2026-09-17T11:37:59Z</dcterms:modified>
</cp:coreProperties>
</file>